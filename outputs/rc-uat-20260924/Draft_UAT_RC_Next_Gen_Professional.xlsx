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98e18b5db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me" sheetId="5" r:id="R86486a9557be431c"/>
    <x:sheet xmlns:r="http://schemas.openxmlformats.org/officeDocument/2006/relationships" name="01 Test Cases" sheetId="4" r:id="R117ad7786dba4546"/>
    <x:sheet xmlns:r="http://schemas.openxmlformats.org/officeDocument/2006/relationships" name="02 Test Data" sheetId="3" r:id="R00db1a7fcc51496c"/>
    <x:sheet xmlns:r="http://schemas.openxmlformats.org/officeDocument/2006/relationships" name="03 Defect Log" sheetId="2" r:id="R02331d3186474441"/>
    <x:sheet xmlns:r="http://schemas.openxmlformats.org/officeDocument/2006/relationships" name="04 Sign-off" sheetId="1" r:id="R8337624574fc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%"/>
  </x:numFmts>
  <x:fonts count="8">
    <x:font>
      <x:sz val="11"/>
      <x:color theme="1"/>
      <x:name val="Calibri"/>
    </x:font>
    <x:font>
      <x:sz val="10"/>
      <x:color theme="1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  <x:font>
      <x:sz val="11"/>
      <x:color rgb="FF252525"/>
      <x:name val="Arial"/>
    </x:font>
    <x:font>
      <x:b/>
      <x:sz val="11"/>
      <x:color rgb="FFFFFFFF"/>
      <x:name val="Arial"/>
    </x:font>
    <x:font>
      <x:b/>
      <x:sz val="17"/>
      <x:color rgb="FFCC0022"/>
      <x:name val="Arial"/>
    </x:font>
    <x:font>
      <x:b/>
      <x:sz val="11"/>
      <x:color rgb="FF25252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84E1F"/>
      </x:patternFill>
    </x:fill>
    <x:fill>
      <x:patternFill patternType="solid">
        <x:fgColor rgb="FFCC0022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Font="1" applyAlignment="1">
      <x:alignment vertical="top" wrapText="1"/>
    </x:xf>
    <x:xf numFmtId="15" fontId="1" fillId="0" borderId="0" xfId="0" applyNumberFormat="1" applyFont="1" applyAlignment="1">
      <x:alignment vertical="top" wrapText="1"/>
    </x:xf>
    <x:xf numFmtId="0" fontId="2" fillId="2" borderId="0" xfId="0" applyFont="1" applyFill="1" applyAlignment="1">
      <x:alignment vertical="top" wrapText="1"/>
    </x:xf>
    <x:xf numFmtId="0" fontId="3" fillId="2" borderId="0" xfId="0" applyFont="1" applyFill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FBDDDD"/>
        </x:patternFill>
      </x:fill>
    </x:dxf>
    <x:dxf>
      <x:fill>
        <x:patternFill patternType="solid">
          <x:bgColor rgb="FFFFE3B3"/>
        </x:patternFill>
      </x:fill>
    </x:dxf>
    <x:dxf>
      <x:fill>
        <x:patternFill patternType="solid">
          <x:bgColor rgb="FFE4F3E9"/>
        </x:patternFill>
      </x:fill>
    </x:dxf>
    <x:dxf>
      <x:fill>
        <x:patternFill patternType="solid">
          <x:bgColor rgb="FFDDEB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56da3adb74fc1" /><Relationship Type="http://schemas.openxmlformats.org/officeDocument/2006/relationships/theme" Target="/xl/theme/theme1.xml" Id="R4b1be7b4d76a4cd2" /><Relationship Type="http://schemas.openxmlformats.org/officeDocument/2006/relationships/sharedStrings" Target="/xl/sharedStrings.xml" Id="R043e99b72a534a54" /><Relationship Type="http://schemas.openxmlformats.org/officeDocument/2006/relationships/worksheet" Target="/xl/worksheets/sheet1.xml" Id="R86486a9557be431c" /><Relationship Type="http://schemas.openxmlformats.org/officeDocument/2006/relationships/worksheet" Target="/xl/worksheets/sheet2.xml" Id="R117ad7786dba4546" /><Relationship Type="http://schemas.openxmlformats.org/officeDocument/2006/relationships/worksheet" Target="/xl/worksheets/sheet3.xml" Id="R00db1a7fcc51496c" /><Relationship Type="http://schemas.openxmlformats.org/officeDocument/2006/relationships/worksheet" Target="/xl/worksheets/sheet4.xml" Id="R02331d3186474441" /><Relationship Type="http://schemas.openxmlformats.org/officeDocument/2006/relationships/worksheet" Target="/xl/worksheets/sheet5.xml" Id="R8337624574fc4779" /></Relationships>
</file>

<file path=xl/tables/table1.xml><?xml version="1.0" encoding="utf-8"?>
<x:table xmlns:x="http://schemas.openxmlformats.org/spreadsheetml/2006/main" id="1" name="UAT_1" displayName="UAT_1" ref="A1:O122" headerRowCount="1" totalsRowCount="0" totalsRowShown="0">
  <x:autoFilter ref="A1:O122"/>
  <x:tableColumns count="15">
    <x:tableColumn id="1" name="ID"/>
    <x:tableColumn id="2" name="Modul"/>
    <x:tableColumn id="3" name="Prioritas"/>
    <x:tableColumn id="4" name="Skenario"/>
    <x:tableColumn id="5" name="Prasyarat dan data"/>
    <x:tableColumn id="6" name="Langkah pengujian"/>
    <x:tableColumn id="7" name="Hasil yang diharapkan"/>
    <x:tableColumn id="8" name="Hasil aktual"/>
    <x:tableColumn id="9" name="Status"/>
    <x:tableColumn id="10" name="Bukti / tautan"/>
    <x:tableColumn id="11" name="Defect ID"/>
    <x:tableColumn id="12" name="Tester"/>
    <x:tableColumn id="13" name="Tanggal uji"/>
    <x:tableColumn id="14" name="Pelaksana"/>
    <x:tableColumn id="15" name="Catatan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UAT_2" displayName="UAT_2" ref="A1:G14" headerRowCount="1" totalsRowCount="0" totalsRowShown="0">
  <x:autoFilter ref="A1:G14"/>
  <x:tableColumns count="7">
    <x:tableColumn id="1" name="Data ID"/>
    <x:tableColumn id="2" name="Jenis"/>
    <x:tableColumn id="3" name="Data dummy yang diperlukan"/>
    <x:tableColumn id="4" name="Tujuan"/>
    <x:tableColumn id="5" name="Owner"/>
    <x:tableColumn id="6" name="Kesiapan"/>
    <x:tableColumn id="7" name="ID fixture / bukti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UAT_3" displayName="UAT_3" ref="A1:M21" headerRowCount="1" totalsRowCount="0" totalsRowShown="0">
  <x:autoFilter ref="A1:M21"/>
  <x:tableColumns count="13">
    <x:tableColumn id="1" name="Defect ID"/>
    <x:tableColumn id="2" name="Tanggal temuan"/>
    <x:tableColumn id="3" name="Test Case ID"/>
    <x:tableColumn id="4" name="Severity"/>
    <x:tableColumn id="5" name="Uraian dan langkah reproduksi"/>
    <x:tableColumn id="6" name="Environment / build"/>
    <x:tableColumn id="7" name="Owner"/>
    <x:tableColumn id="8" name="Status defect"/>
    <x:tableColumn id="9" name="Target perbaikan"/>
    <x:tableColumn id="10" name="Hasil retest"/>
    <x:tableColumn id="11" name="Bukti"/>
    <x:tableColumn id="12" name="Tanggal retest"/>
    <x:tableColumn id="13" name="Catatan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4" name="UAT_4" displayName="UAT_4" ref="A1:I14" headerRowCount="1" totalsRowCount="0" totalsRowShown="0">
  <x:autoFilter ref="A1:I14"/>
  <x:tableColumns count="9">
    <x:tableColumn id="1" name="Area"/>
    <x:tableColumn id="2" name="Business Owner"/>
    <x:tableColumn id="3" name="Tester"/>
    <x:tableColumn id="4" name="Tanggal review"/>
    <x:tableColumn id="5" name="Keputusan"/>
    <x:tableColumn id="6" name="Defect terbuka"/>
    <x:tableColumn id="7" name="Bukti / ringkasan"/>
    <x:tableColumn id="8" name="Persetujuan / tanda tangan"/>
    <x:tableColumn id="9" name="Catatan dan batasan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14da5a1c8848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a43b0d54424b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406213e23f41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add8fa40674bd5" /></Relationships>
</file>

<file path=xl/worksheets/sheet1.xml><?xml version="1.0" encoding="utf-8"?>
<x:worksheet xmlns:x="http://schemas.openxmlformats.org/spreadsheetml/2006/main">
  <x:sheetPr>
    <x:tabColor rgb="FFCC0022"/>
  </x:sheetPr>
  <x:sheetViews>
    <x:sheetView showGridLines="0" workbookViewId="0">
      <x:pane ySplit="1" topLeftCell="A2" activePane="bottomLeft" state="frozen"/>
    </x:sheetView>
  </x:sheetViews>
  <x:sheetFormatPr defaultRowHeight="14.399999618530273"/>
  <x:cols>
    <x:col min="1" max="1" width="27" hidden="0" customWidth="1"/>
    <x:col min="2" max="2" width="91" hidden="0" customWidth="1"/>
    <x:col min="3" max="3" width="4" hidden="0" customWidth="1"/>
    <x:col min="4" max="4" width="30" hidden="0" customWidth="1"/>
    <x:col min="5" max="5" width="18" hidden="0" customWidth="1"/>
  </x:cols>
  <x:sheetData>
    <x:row r="1" s="4" customFormat="1" ht="38" customHeight="1">
      <x:c r="A1" s="14" t="str">
        <x:v>Draft UAT RC Next Gen</x:v>
      </x:c>
      <x:c r="B1" s="7"/>
      <x:c r="C1" s="7"/>
      <x:c r="D1" s="7"/>
      <x:c r="E1" s="7"/>
    </x:row>
    <x:row r="2" ht="32" customHeight="1">
      <x:c r="A2" s="15" t="str">
        <x:v>Versi</x:v>
      </x:c>
      <x:c r="B2" s="7" t="str">
        <x:v>1.1 — revisi draft 24-Sep-2026</x:v>
      </x:c>
      <x:c r="C2" s="7"/>
      <x:c r="D2" s="7"/>
      <x:c r="E2" s="7"/>
    </x:row>
    <x:row r="3" ht="32" customHeight="1">
      <x:c r="A3" s="15" t="str">
        <x:v>Tanggal dokumen</x:v>
      </x:c>
      <x:c r="B3" s="16" t="n">
        <x:v>46289</x:v>
      </x:c>
      <x:c r="C3" s="7"/>
      <x:c r="D3" s="7"/>
      <x:c r="E3" s="7"/>
    </x:row>
    <x:row r="4" ht="32" customHeight="1">
      <x:c r="A4" s="15" t="str">
        <x:v>URL staging/test</x:v>
      </x:c>
      <x:c r="B4" s="12"/>
      <x:c r="C4" s="7"/>
      <x:c r="D4" s="9" t="str">
        <x:v>Progres pelaksanaan</x:v>
      </x:c>
      <x:c r="E4" s="9" t="str">
        <x:v>Jumlah</x:v>
      </x:c>
    </x:row>
    <x:row r="5" ht="32" customHeight="1">
      <x:c r="A5" s="15" t="str">
        <x:v>Project test dan build</x:v>
      </x:c>
      <x:c r="B5" s="12"/>
      <x:c r="C5" s="7"/>
      <x:c r="D5" s="7" t="str">
        <x:v>Total skenario</x:v>
      </x:c>
      <x:c r="E5" s="7" t="n">
        <x:f>COUNTA('01 Test Cases'!$A$2:$A$122)</x:f>
        <x:v>121</x:v>
      </x:c>
    </x:row>
    <x:row r="6" ht="32" customHeight="1">
      <x:c r="A6" s="15" t="str">
        <x:v>UAT Owner</x:v>
      </x:c>
      <x:c r="B6" s="12"/>
      <x:c r="C6" s="7"/>
      <x:c r="D6" s="7" t="str">
        <x:v>Not Run</x:v>
      </x:c>
      <x:c r="E6" s="7" t="n">
        <x:f>COUNTIFS('01 Test Cases'!$I$2:$I$122,D6)</x:f>
        <x:v>121</x:v>
      </x:c>
    </x:row>
    <x:row r="7" ht="32" customHeight="1">
      <x:c r="A7" s="15" t="str">
        <x:v>Periode pelaksanaan</x:v>
      </x:c>
      <x:c r="B7" s="12"/>
      <x:c r="C7" s="7"/>
      <x:c r="D7" s="7" t="str">
        <x:v>In Progress</x:v>
      </x:c>
      <x:c r="E7" s="7" t="n">
        <x:f>COUNTIFS('01 Test Cases'!$I$2:$I$122,D7)</x:f>
        <x:v>0</x:v>
      </x:c>
    </x:row>
    <x:row r="8" ht="47" customHeight="1">
      <x:c r="A8" s="15" t="str">
        <x:v>Environment belum siap</x:v>
      </x:c>
      <x:c r="B8" s="7" t="str">
        <x:v>Staging khusus belum ditetapkan. Project vvojshgcduqlugngpzkj dipakai depot; bukan target stress test atau mutasi dummy massal.</x:v>
      </x:c>
      <x:c r="C8" s="7"/>
      <x:c r="D8" s="7" t="str">
        <x:v>Pass</x:v>
      </x:c>
      <x:c r="E8" s="7" t="n">
        <x:f>COUNTIFS('01 Test Cases'!$I$2:$I$122,D8)</x:f>
        <x:v>0</x:v>
      </x:c>
    </x:row>
    <x:row r="9" ht="32" customHeight="1">
      <x:c r="A9" s="15" t="str">
        <x:v>Cara mulai</x:v>
      </x:c>
      <x:c r="B9" s="7" t="str">
        <x:v>Isi URL/project/build, pemilik UAT, dan data dummy. Jalankan P0 dahulu, kemudian P1.</x:v>
      </x:c>
      <x:c r="C9" s="7"/>
      <x:c r="D9" s="7" t="str">
        <x:v>Fail</x:v>
      </x:c>
      <x:c r="E9" s="7" t="n">
        <x:f>COUNTIFS('01 Test Cases'!$I$2:$I$122,D9)</x:f>
        <x:v>0</x:v>
      </x:c>
    </x:row>
    <x:row r="10" ht="47" customHeight="1">
      <x:c r="A10" s="15" t="str">
        <x:v>Cara mengisi</x:v>
      </x:c>
      <x:c r="B10" s="7" t="str">
        <x:v>Di 01 Test Cases, filter Modul atau Pelaksana. Baca Prasyarat, ikuti Langkah, lalu isi kolom kuning: hasil aktual, status, bukti, defect, tester dan tanggal.</x:v>
      </x:c>
      <x:c r="C10" s="7"/>
      <x:c r="D10" s="7" t="str">
        <x:v>Blocked</x:v>
      </x:c>
      <x:c r="E10" s="7" t="n">
        <x:f>COUNTIFS('01 Test Cases'!$I$2:$I$122,D10)</x:f>
        <x:v>0</x:v>
      </x:c>
    </x:row>
    <x:row r="11" ht="32" customHeight="1">
      <x:c r="A11" s="15" t="str">
        <x:v>Not Run</x:v>
      </x:c>
      <x:c r="B11" s="7" t="str">
        <x:v>Belum dijalankan; status awal semua skenario baru.</x:v>
      </x:c>
      <x:c r="C11" s="7"/>
      <x:c r="D11" s="7" t="str">
        <x:v>Selesai diuji (Pass + Fail)</x:v>
      </x:c>
      <x:c r="E11" s="17" t="n">
        <x:f>IF(E5=0,0,(E8+E9)/E5)</x:f>
        <x:v>0</x:v>
      </x:c>
    </x:row>
    <x:row r="12" ht="32" customHeight="1">
      <x:c r="A12" s="15" t="str">
        <x:v>In Progress</x:v>
      </x:c>
      <x:c r="B12" s="7" t="str">
        <x:v>Sedang dikerjakan dan belum memiliki kesimpulan.</x:v>
      </x:c>
      <x:c r="C12" s="7"/>
      <x:c r="D12" s="7" t="str">
        <x:v>Pass / total</x:v>
      </x:c>
      <x:c r="E12" s="17" t="n">
        <x:f>IF(E5=0,0,E8/E5)</x:f>
        <x:v>0</x:v>
      </x:c>
    </x:row>
    <x:row r="13" ht="32" customHeight="1">
      <x:c r="A13" s="15" t="str">
        <x:v>Pass</x:v>
      </x:c>
      <x:c r="B13" s="7" t="str">
        <x:v>Hasil sesuai ekspektasi dan bukti sudah dicatat.</x:v>
      </x:c>
      <x:c r="C13" s="7"/>
      <x:c r="D13" s="7" t="str">
        <x:v>P0 belum Pass</x:v>
      </x:c>
      <x:c r="E13" s="7" t="n">
        <x:f>COUNTIFS('01 Test Cases'!$C$2:$C$122,"P0",'01 Test Cases'!$I$2:$I$122,"&lt;&gt;Pass")</x:f>
        <x:v>82</x:v>
      </x:c>
    </x:row>
    <x:row r="14" ht="47" customHeight="1">
      <x:c r="A14" s="15" t="str">
        <x:v>Fail</x:v>
      </x:c>
      <x:c r="B14" s="7" t="str">
        <x:v>Ada selisih terhadap hasil yang diharapkan; isi Defect ID dan catat masalah pada 03 Defect Log.</x:v>
      </x:c>
      <x:c r="C14" s="7"/>
      <x:c r="D14" s="7"/>
      <x:c r="E14" s="7"/>
    </x:row>
    <x:row r="15" ht="47" customHeight="1">
      <x:c r="A15" s="15" t="str">
        <x:v>Blocked</x:v>
      </x:c>
      <x:c r="B15" s="7" t="str">
        <x:v>Tidak bisa diuji karena prasyarat, environment, data atau fitur belum tersedia. Tulis penyebabnya.</x:v>
      </x:c>
      <x:c r="C15" s="7"/>
      <x:c r="D15" s="7" t="str">
        <x:v>Kolom kuning diisi tester. Angka progres berubah mengikuti Status pada 01 Test Cases.</x:v>
      </x:c>
      <x:c r="E15" s="7"/>
    </x:row>
    <x:row r="16" ht="47" customHeight="1">
      <x:c r="A16" s="15" t="str">
        <x:v>P0</x:v>
      </x:c>
      <x:c r="B16" s="7" t="str">
        <x:v>Kritis bagi akses, integritas data, status, atau alur utama; diselesaikan sebelum sign-off.</x:v>
      </x:c>
      <x:c r="C16" s="7"/>
      <x:c r="D16" s="7"/>
      <x:c r="E16" s="7"/>
    </x:row>
    <x:row r="17" ht="32" customHeight="1">
      <x:c r="A17" s="15" t="str">
        <x:v>P1</x:v>
      </x:c>
      <x:c r="B17" s="7" t="str">
        <x:v>Fungsi pendukung dan tampilan yang tetap harus memenuhi kriteria penerimaan.</x:v>
      </x:c>
      <x:c r="C17" s="7"/>
      <x:c r="D17" s="7"/>
      <x:c r="E17" s="7"/>
    </x:row>
    <x:row r="18" ht="32" customHeight="1">
      <x:c r="A18" s="15" t="str">
        <x:v>QA + bisnis</x:v>
      </x:c>
      <x:c r="B18" s="7" t="str">
        <x:v>QA membantu permintaan teknis/API dan fixture; tester bisnis memeriksa dampak di layar.</x:v>
      </x:c>
      <x:c r="C18" s="7"/>
      <x:c r="D18" s="7"/>
      <x:c r="E18" s="7"/>
    </x:row>
    <x:row r="19" ht="47" customHeight="1">
      <x:c r="A19" s="15" t="str">
        <x:v>Bukti yang diperlukan</x:v>
      </x:c>
      <x:c r="B19" s="7" t="str">
        <x:v>Screenshot tanpa PIN/data sensitif; nomor dokumen/batch, waktu WIB, URL build. Bukti API/query hanya ditambahkan QA bila skenario memerlukannya.</x:v>
      </x:c>
      <x:c r="C19" s="7"/>
      <x:c r="D19" s="7"/>
      <x:c r="E19" s="7"/>
    </x:row>
    <x:row r="20" ht="47" customHeight="1">
      <x:c r="A20" s="15" t="str">
        <x:v>Retest</x:v>
      </x:c>
      <x:c r="B20" s="7" t="str">
        <x:v>Isi defect dan hasil perbaikan; ulang skenario terkait pada build baru. Simpan tautan bukti lama serta baru, jangan menghapus riwayat temuan.</x:v>
      </x:c>
      <x:c r="C20" s="7"/>
      <x:c r="D20" s="7"/>
      <x:c r="E20" s="7"/>
    </x:row>
    <x:row r="21" ht="47" customHeight="1">
      <x:c r="A21" s="15" t="str">
        <x:v>Kriteria selesai</x:v>
      </x:c>
      <x:c r="B21" s="7" t="str">
        <x:v>Semua P0/P1 Pass, tidak ada Critical/High terbuka, bukti/hasil/tester/tanggal lengkap, serta persetujuan bisnis tercatat. Perubahan cakupan harus disetujui dan ditulis.</x:v>
      </x:c>
      <x:c r="C21" s="7"/>
      <x:c r="D21" s="7"/>
      <x:c r="E21" s="7"/>
    </x:row>
    <x:row r="22" ht="47" customHeight="1">
      <x:c r="A22" s="15" t="str">
        <x:v>Periode campaign</x:v>
      </x:c>
      <x:c r="B22" s="7" t="str">
        <x:v>CAM-DATE dan REPORT-07 s/d 11 memeriksa SO/Billing, year, batas tanggal dan sinkronisasi. Definisi year/overlap harus disahkan pemilik bisnis sebelum menyatakan Pass.</x:v>
      </x:c>
      <x:c r="C22" s="7"/>
      <x:c r="D22" s="7"/>
      <x:c r="E22" s="7"/>
    </x:row>
    <x:row r="23" ht="47" customHeight="1">
      <x:c r="A23" s="15" t="str">
        <x:v>Data dan privasi</x:v>
      </x:c>
      <x:c r="B23" s="7" t="str">
        <x:v>Gunakan fixture dummy staging. Jangan memasukkan PIN, token, rekening lengkap atau identitas pajak nyata ke workbook ini.</x:v>
      </x:c>
      <x:c r="C23" s="7"/>
      <x:c r="D23" s="7"/>
      <x:c r="E23" s="7"/>
    </x:row>
    <x:row r="24" ht="64" customHeight="1">
      <x:c r="A24" s="15" t="str">
        <x:v>Batas scope</x:v>
      </x:c>
      <x:c r="B24" s="7" t="str">
        <x:v>Migrasi penuh Document Center legacy, Print Document, job sinkronisasi dan load/stress test terpisah dari UAT fungsional. Compile RC tetap memiliki skenario yang dapat diuji pada build tersedia.</x:v>
      </x:c>
      <x:c r="C24" s="7"/>
      <x:c r="D24" s="7"/>
      <x:c r="E24" s="7"/>
    </x:row>
    <x:row r="25" ht="47" customHeight="1">
      <x:c r="A25" s="15" t="str">
        <x:v>Kapasitas</x:v>
      </x:c>
      <x:c r="B25" s="7" t="str">
        <x:v>Target 1.000.000 rows dan sampai 1.500 user bukan hasil pengujian. Tidak ada klaim load/stress test lulus dalam workbook ini.</x:v>
      </x:c>
      <x:c r="C25" s="7"/>
      <x:c r="D25" s="7"/>
      <x:c r="E25" s="7"/>
    </x:row>
    <x:row r="26" ht="47" customHeight="1">
      <x:c r="A26" s="15" t="str">
        <x:v>Sign-off</x:v>
      </x:c>
      <x:c r="B26" s="7" t="str">
        <x:v>Ringkasan progres tidak otomatis mengesahkan rilis. Isi 04 Sign-off setelah meninjau hasil, defect dan keterbatasan.</x:v>
      </x:c>
      <x:c r="C26" s="7"/>
      <x:c r="D26" s="7"/>
      <x:c r="E26" s="7"/>
    </x:row>
    <x:row r="27" ht="47" customHeight="1">
      <x:c r="A27" s="15" t="str">
        <x:v>Sumber</x:v>
      </x:c>
      <x:c r="B27" s="7" t="str">
        <x:v>UAT_RC_Next_Gen_2026-09-24.xlsx; docs/PRD-Resource-Collection.md; docs/rc-release-2026-09-24.md; docs/rc-user-upload-approval.md; source modul per 24-Sep-2026.</x:v>
      </x:c>
      <x:c r="C27" s="7"/>
      <x:c r="D27" s="7"/>
      <x:c r="E27" s="7"/>
    </x:row>
    <x:row r="28" ht="47" customHeight="1">
      <x:c r="A28" s="15" t="str">
        <x:v>Perubahan draft</x:v>
      </x:c>
      <x:c r="B28" s="7" t="str">
        <x:v>97 ID awal dipertahankan; langkah diperjelas; 24 skenario tambahan; kolom pelaksana, tester dan tanggal; formula progres; status dan defect lebih jelas.</x:v>
      </x:c>
      <x:c r="C28" s="7"/>
      <x:c r="D28" s="7"/>
      <x:c r="E28" s="7"/>
    </x:row>
    <x:row r="29" ht="47" customHeight="1">
      <x:c r="A29" s="15" t="str">
        <x:v>Data awal</x:v>
      </x:c>
      <x:c r="B29" s="7" t="str">
        <x:v>Seluruh actual/status/bukti testcase sumber masih kosong. Status sekarang Not Run; tidak ada hasil Pass yang dibuat otomatis.</x:v>
      </x:c>
      <x:c r="C29" s="7"/>
      <x:c r="D29" s="7"/>
      <x:c r="E29" s="7"/>
    </x:row>
    <x:row r="30" ht="47" customHeight="1">
      <x:c r="A30" s="15" t="str">
        <x:v>Status test data</x:v>
      </x:c>
      <x:c r="B30" s="7" t="str">
        <x:v>Kata Disiapkan pada sumber belum disertai bukti kesiapan. Kini Perlu konfirmasi sampai owner memasukkan identitas fixture dan memverifikasinya.</x:v>
      </x:c>
      <x:c r="C30" s="7"/>
      <x:c r="D30" s="7"/>
      <x:c r="E30" s="7"/>
    </x:row>
    <x:row r="31" ht="47" customHeight="1">
      <x:c r="A31" s="15" t="str">
        <x:v>Defect awal</x:v>
      </x:c>
      <x:c r="B31" s="7" t="str">
        <x:v>DEF-001 sampai DEF-003 pada sumber hanya placeholder tanpa uraian. ID dipertahankan; severity/status dikosongkan agar tidak dianggap temuan nyata.</x:v>
      </x:c>
      <x:c r="C31" s="7"/>
      <x:c r="D31" s="7"/>
      <x:c r="E31" s="7"/>
    </x:row>
    <x:row r="32" ht="47" customHeight="1">
      <x:c r="A32" s="15" t="str">
        <x:v>Contoh isian hasil</x:v>
      </x:c>
      <x:c r="B32" s="7" t="str">
        <x:v>Dokumen DUMMY-01 menjadi Submitted; batch BATCH-UAT-01; 24-Sep-2026 10:15:00 WIB. Contoh ini bukan hasil pengujian.</x:v>
      </x:c>
      <x:c r="C32" s="7"/>
      <x:c r="D32" s="7"/>
      <x:c r="E32" s="7"/>
    </x:row>
  </x:sheetData>
  <x:mergeCells>
    <x:mergeCell ref="A1:B1"/>
    <x:mergeCell ref="D15:E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C0022"/>
  </x:sheetPr>
  <x:sheetViews>
    <x:sheetView showGridLines="0" workbookViewId="0">
      <x:pane xSplit="3" ySplit="1" topLeftCell="D2" activePane="bottomRight" state="frozen"/>
    </x:sheetView>
  </x:sheetViews>
  <x:sheetFormatPr defaultRowHeight="14.399999618530273"/>
  <x:cols>
    <x:col min="1" max="1" width="19" hidden="0" customWidth="1"/>
    <x:col min="2" max="2" width="22" hidden="0" customWidth="1"/>
    <x:col min="3" max="3" width="12" hidden="0" customWidth="1"/>
    <x:col min="4" max="4" width="38" hidden="0" customWidth="1"/>
    <x:col min="5" max="5" width="44" hidden="0" customWidth="1"/>
    <x:col min="7" max="7" width="66" hidden="0" customWidth="1"/>
    <x:col min="8" max="8" width="48" hidden="0" customWidth="1"/>
    <x:col min="9" max="9" width="17" hidden="0" customWidth="1"/>
    <x:col min="10" max="10" width="37" hidden="0" customWidth="1"/>
    <x:col min="11" max="11" width="19" hidden="0" customWidth="1"/>
    <x:col min="6" max="6" width="66" hidden="0" customWidth="1"/>
    <x:col min="12" max="12" width="24" hidden="0" customWidth="1"/>
    <x:col min="13" max="13" width="20" hidden="0" customWidth="1"/>
    <x:col min="14" max="14" width="20" hidden="0" customWidth="1"/>
    <x:col min="15" max="15" width="45" hidden="0" customWidth="1"/>
  </x:cols>
  <x:sheetData>
    <x:row r="1" s="4" customFormat="1" ht="34" customHeight="1">
      <x:c r="A1" s="10" t="str">
        <x:v>ID</x:v>
      </x:c>
      <x:c r="B1" s="10" t="str">
        <x:v>Modul</x:v>
      </x:c>
      <x:c r="C1" s="10" t="str">
        <x:v>Prioritas</x:v>
      </x:c>
      <x:c r="D1" s="10" t="str">
        <x:v>Skenario</x:v>
      </x:c>
      <x:c r="E1" s="10" t="str">
        <x:v>Prasyarat dan data</x:v>
      </x:c>
      <x:c r="F1" s="10" t="str">
        <x:v>Langkah pengujian</x:v>
      </x:c>
      <x:c r="G1" s="10" t="str">
        <x:v>Hasil yang diharapkan</x:v>
      </x:c>
      <x:c r="H1" s="10" t="str">
        <x:v>Hasil aktual</x:v>
      </x:c>
      <x:c r="I1" s="10" t="str">
        <x:v>Status</x:v>
      </x:c>
      <x:c r="J1" s="10" t="str">
        <x:v>Bukti / tautan</x:v>
      </x:c>
      <x:c r="K1" s="10" t="str">
        <x:v>Defect ID</x:v>
      </x:c>
      <x:c r="L1" s="10" t="str">
        <x:v>Tester</x:v>
      </x:c>
      <x:c r="M1" s="10" t="str">
        <x:v>Tanggal uji</x:v>
      </x:c>
      <x:c r="N1" s="10" t="str">
        <x:v>Pelaksana</x:v>
      </x:c>
      <x:c r="O1" s="10" t="str">
        <x:v>Catatan</x:v>
      </x:c>
    </x:row>
    <x:row r="2" ht="84" customHeight="1">
      <x:c r="A2" s="11" t="str">
        <x:v>AUTH-01</x:v>
      </x:c>
      <x:c r="B2" s="11" t="str">
        <x:v>Auth</x:v>
      </x:c>
      <x:c r="C2" s="11" t="str">
        <x:v>P0</x:v>
      </x:c>
      <x:c r="D2" s="11" t="str">
        <x:v>Login User ID dan PIN valid</x:v>
      </x:c>
      <x:c r="E2" s="11" t="str">
        <x:v>Akun aktif tersedia</x:v>
      </x:c>
      <x:c r="F2" s="11" t="str">
        <x:v>1. Buka login
2. masukkan User ID dan PIN
3. submit</x:v>
      </x:c>
      <x:c r="G2" s="11" t="str">
        <x:v>Sesi dibuat dan profil sesuai scope terbaca</x:v>
      </x:c>
      <x:c r="H2" s="12"/>
      <x:c r="I2" s="12" t="str">
        <x:v>Not Run</x:v>
      </x:c>
      <x:c r="J2" s="12"/>
      <x:c r="K2" s="12"/>
      <x:c r="L2" s="12"/>
      <x:c r="M2" s="13"/>
      <x:c r="N2" s="11" t="str">
        <x:v>Bisnis</x:v>
      </x:c>
      <x:c r="O2" s="12"/>
    </x:row>
    <x:row r="3" ht="84" customHeight="1">
      <x:c r="A3" s="7" t="str">
        <x:v>AUTH-02</x:v>
      </x:c>
      <x:c r="B3" s="7" t="str">
        <x:v>Auth</x:v>
      </x:c>
      <x:c r="C3" s="7" t="str">
        <x:v>P1</x:v>
      </x:c>
      <x:c r="D3" s="7" t="str">
        <x:v>Login dengan variasi casing User ID</x:v>
      </x:c>
      <x:c r="E3" s="7" t="str">
        <x:v>Akun legacy untuk variasi huruf sudah disiapkan oleh QA.</x:v>
      </x:c>
      <x:c r="F3" s="7" t="str">
        <x:v>1. Login memakai penulisan asli User ID
2. logout
3. ulangi dengan huruf besar dan kecil. QA memeriksa respons saat PIN salah dan koneksi/rate limit bermasalah.</x:v>
      </x:c>
      <x:c r="G3" s="7" t="str">
        <x:v>Penulisan yang didukung berhasil pada akun yang sama. Kesalahan koneksi/rate limit tidak memicu pengiriman login berulang.</x:v>
      </x:c>
      <x:c r="H3" s="12"/>
      <x:c r="I3" s="12" t="str">
        <x:v>Not Run</x:v>
      </x:c>
      <x:c r="J3" s="12"/>
      <x:c r="K3" s="12"/>
      <x:c r="L3" s="12"/>
      <x:c r="M3" s="13"/>
      <x:c r="N3" s="7" t="str">
        <x:v>Bisnis</x:v>
      </x:c>
      <x:c r="O3" s="12"/>
    </x:row>
    <x:row r="4" ht="84" customHeight="1">
      <x:c r="A4" s="11" t="str">
        <x:v>AUTH-03</x:v>
      </x:c>
      <x:c r="B4" s="11" t="str">
        <x:v>Auth</x:v>
      </x:c>
      <x:c r="C4" s="11" t="str">
        <x:v>P0</x:v>
      </x:c>
      <x:c r="D4" s="11" t="str">
        <x:v>PIN salah</x:v>
      </x:c>
      <x:c r="E4" s="11" t="str">
        <x:v>Akun aktif tersedia</x:v>
      </x:c>
      <x:c r="F4" s="11" t="str">
        <x:v>1. Masukkan PIN salah</x:v>
      </x:c>
      <x:c r="G4" s="11" t="str">
        <x:v>Login ditolak tanpa membocorkan informasi sensitif</x:v>
      </x:c>
      <x:c r="H4" s="12"/>
      <x:c r="I4" s="12" t="str">
        <x:v>Not Run</x:v>
      </x:c>
      <x:c r="J4" s="12"/>
      <x:c r="K4" s="12"/>
      <x:c r="L4" s="12"/>
      <x:c r="M4" s="13"/>
      <x:c r="N4" s="11" t="str">
        <x:v>Bisnis</x:v>
      </x:c>
      <x:c r="O4" s="12"/>
    </x:row>
    <x:row r="5" ht="84" customHeight="1">
      <x:c r="A5" s="7" t="str">
        <x:v>AUTH-04</x:v>
      </x:c>
      <x:c r="B5" s="7" t="str">
        <x:v>Auth</x:v>
      </x:c>
      <x:c r="C5" s="7" t="str">
        <x:v>P0</x:v>
      </x:c>
      <x:c r="D5" s="7" t="str">
        <x:v>Akun Pending, Rejected, atau nonaktif</x:v>
      </x:c>
      <x:c r="E5" s="7" t="str">
        <x:v>Tersedia tiga akun dummy: Pending, Rejected, dan nonaktif.</x:v>
      </x:c>
      <x:c r="F5" s="7" t="str">
        <x:v>1. Coba login pada masing-masing akun
2. coba membuka Claim Upload dan Analytics.</x:v>
      </x:c>
      <x:c r="G5" s="7" t="str">
        <x:v>Pesan status akun jelas dan tidak ada data bisnis yang dapat dibaca/diubah.</x:v>
      </x:c>
      <x:c r="H5" s="12"/>
      <x:c r="I5" s="12" t="str">
        <x:v>Not Run</x:v>
      </x:c>
      <x:c r="J5" s="12"/>
      <x:c r="K5" s="12"/>
      <x:c r="L5" s="12"/>
      <x:c r="M5" s="13"/>
      <x:c r="N5" s="7" t="str">
        <x:v>Bisnis</x:v>
      </x:c>
      <x:c r="O5" s="12"/>
    </x:row>
    <x:row r="6" ht="96" customHeight="1">
      <x:c r="A6" s="11" t="str">
        <x:v>AUTH-05</x:v>
      </x:c>
      <x:c r="B6" s="11" t="str">
        <x:v>Auth</x:v>
      </x:c>
      <x:c r="C6" s="11" t="str">
        <x:v>P0</x:v>
      </x:c>
      <x:c r="D6" s="11" t="str">
        <x:v>PIN awal wajib diganti</x:v>
      </x:c>
      <x:c r="E6" s="11" t="str">
        <x:v>Akun dummy baru belum mengganti PIN awal.</x:v>
      </x:c>
      <x:c r="F6" s="11" t="str">
        <x:v>1. Login
2. coba buka modul bisnis
3. ikuti ganti PIN
4. buka kembali modul.</x:v>
      </x:c>
      <x:c r="G6" s="11" t="str">
        <x:v>Sebelum ganti PIN data bisnis tertahan. Setelah berhasil, akses mengikuti role dan area.</x:v>
      </x:c>
      <x:c r="H6" s="12"/>
      <x:c r="I6" s="12" t="str">
        <x:v>Not Run</x:v>
      </x:c>
      <x:c r="J6" s="12"/>
      <x:c r="K6" s="12"/>
      <x:c r="L6" s="12"/>
      <x:c r="M6" s="13"/>
      <x:c r="N6" s="11" t="str">
        <x:v>Bisnis</x:v>
      </x:c>
      <x:c r="O6" s="12"/>
    </x:row>
    <x:row r="7" ht="84" customHeight="1">
      <x:c r="A7" s="7" t="str">
        <x:v>AUTH-06</x:v>
      </x:c>
      <x:c r="B7" s="7" t="str">
        <x:v>Auth</x:v>
      </x:c>
      <x:c r="C7" s="7" t="str">
        <x:v>P1</x:v>
      </x:c>
      <x:c r="D7" s="7" t="str">
        <x:v>PIN mengandung spasi</x:v>
      </x:c>
      <x:c r="E7" s="7" t="str">
        <x:v>Akun test tersedia</x:v>
      </x:c>
      <x:c r="F7" s="7" t="str">
        <x:v>1. Login atau ubah PIN dengan spasi</x:v>
      </x:c>
      <x:c r="G7" s="7" t="str">
        <x:v>Nilai diproses sesuai aturan dan tidak dipangkas diam-diam</x:v>
      </x:c>
      <x:c r="H7" s="12"/>
      <x:c r="I7" s="12" t="str">
        <x:v>Not Run</x:v>
      </x:c>
      <x:c r="J7" s="12"/>
      <x:c r="K7" s="12"/>
      <x:c r="L7" s="12"/>
      <x:c r="M7" s="13"/>
      <x:c r="N7" s="7" t="str">
        <x:v>Bisnis</x:v>
      </x:c>
      <x:c r="O7" s="12"/>
    </x:row>
    <x:row r="8" ht="84" customHeight="1">
      <x:c r="A8" s="11" t="str">
        <x:v>AUTH-07</x:v>
      </x:c>
      <x:c r="B8" s="11" t="str">
        <x:v>Auth</x:v>
      </x:c>
      <x:c r="C8" s="11" t="str">
        <x:v>P1</x:v>
      </x:c>
      <x:c r="D8" s="11" t="str">
        <x:v>Logout dan reload</x:v>
      </x:c>
      <x:c r="E8" s="11" t="str">
        <x:v>Sesi aktif</x:v>
      </x:c>
      <x:c r="F8" s="11" t="str">
        <x:v>1. Logout
2. reload halaman</x:v>
      </x:c>
      <x:c r="G8" s="11" t="str">
        <x:v>Sesi/cache dibersihkan dan halaman meminta login</x:v>
      </x:c>
      <x:c r="H8" s="12"/>
      <x:c r="I8" s="12" t="str">
        <x:v>Not Run</x:v>
      </x:c>
      <x:c r="J8" s="12"/>
      <x:c r="K8" s="12"/>
      <x:c r="L8" s="12"/>
      <x:c r="M8" s="13"/>
      <x:c r="N8" s="11" t="str">
        <x:v>Bisnis</x:v>
      </x:c>
      <x:c r="O8" s="12"/>
    </x:row>
    <x:row r="9" ht="84" customHeight="1">
      <x:c r="A9" s="7" t="str">
        <x:v>AUTH-08</x:v>
      </x:c>
      <x:c r="B9" s="7" t="str">
        <x:v>Auth</x:v>
      </x:c>
      <x:c r="C9" s="7" t="str">
        <x:v>P1</x:v>
      </x:c>
      <x:c r="D9" s="7" t="str">
        <x:v>Session expired</x:v>
      </x:c>
      <x:c r="E9" s="7" t="str">
        <x:v>Sesi dapat dibuat expired</x:v>
      </x:c>
      <x:c r="F9" s="7" t="str">
        <x:v>1. Akses modul setelah token expired</x:v>
      </x:c>
      <x:c r="G9" s="7" t="str">
        <x:v>Pengguna diarahkan login ulang tanpa data parsial</x:v>
      </x:c>
      <x:c r="H9" s="12"/>
      <x:c r="I9" s="12" t="str">
        <x:v>Not Run</x:v>
      </x:c>
      <x:c r="J9" s="12"/>
      <x:c r="K9" s="12"/>
      <x:c r="L9" s="12"/>
      <x:c r="M9" s="13"/>
      <x:c r="N9" s="7" t="str">
        <x:v>Bisnis</x:v>
      </x:c>
      <x:c r="O9" s="12"/>
    </x:row>
    <x:row r="10" ht="84" customHeight="1">
      <x:c r="A10" s="11" t="str">
        <x:v>ACCESS-01</x:v>
      </x:c>
      <x:c r="B10" s="11" t="str">
        <x:v>Access</x:v>
      </x:c>
      <x:c r="C10" s="11" t="str">
        <x:v>P0</x:v>
      </x:c>
      <x:c r="D10" s="11" t="str">
        <x:v>Katalog role System Manager</x:v>
      </x:c>
      <x:c r="E10" s="11" t="str">
        <x:v>Login sebagai System Manager</x:v>
      </x:c>
      <x:c r="F10" s="11" t="str">
        <x:v>1. Buka Registrasi/Edit Akses</x:v>
      </x:c>
      <x:c r="G10" s="11" t="str">
        <x:v>Delapan role tersedia</x:v>
      </x:c>
      <x:c r="H10" s="12"/>
      <x:c r="I10" s="12" t="str">
        <x:v>Not Run</x:v>
      </x:c>
      <x:c r="J10" s="12"/>
      <x:c r="K10" s="12"/>
      <x:c r="L10" s="12"/>
      <x:c r="M10" s="13"/>
      <x:c r="N10" s="11" t="str">
        <x:v>Bisnis</x:v>
      </x:c>
      <x:c r="O10" s="12"/>
    </x:row>
    <x:row r="11" ht="84" customHeight="1">
      <x:c r="A11" s="7" t="str">
        <x:v>ACCESS-02</x:v>
      </x:c>
      <x:c r="B11" s="7" t="str">
        <x:v>Access</x:v>
      </x:c>
      <x:c r="C11" s="7" t="str">
        <x:v>P0</x:v>
      </x:c>
      <x:c r="D11" s="7" t="str">
        <x:v>Supervisor tidak dapat memilih System Manager</x:v>
      </x:c>
      <x:c r="E11" s="7" t="str">
        <x:v>Login sebagai Supervisor</x:v>
      </x:c>
      <x:c r="F11" s="7" t="str">
        <x:v>1. Buka form role dan kirim payload manipulasi</x:v>
      </x:c>
      <x:c r="G11" s="7" t="str">
        <x:v>Opsi tidak tersedia dan server menolak payload</x:v>
      </x:c>
      <x:c r="H11" s="12"/>
      <x:c r="I11" s="12" t="str">
        <x:v>Not Run</x:v>
      </x:c>
      <x:c r="J11" s="12"/>
      <x:c r="K11" s="12"/>
      <x:c r="L11" s="12"/>
      <x:c r="M11" s="13"/>
      <x:c r="N11" s="7" t="str">
        <x:v>QA + bisnis</x:v>
      </x:c>
      <x:c r="O11" s="12"/>
    </x:row>
    <x:row r="12" ht="84" customHeight="1">
      <x:c r="A12" s="11" t="str">
        <x:v>ACCESS-03</x:v>
      </x:c>
      <x:c r="B12" s="11" t="str">
        <x:v>Access</x:v>
      </x:c>
      <x:c r="C12" s="11" t="str">
        <x:v>P0</x:v>
      </x:c>
      <x:c r="D12" s="11" t="str">
        <x:v>Depot di luar scope</x:v>
      </x:c>
      <x:c r="E12" s="11" t="str">
        <x:v>User dengan area kewenangan terbatas</x:v>
      </x:c>
      <x:c r="F12" s="11" t="str">
        <x:v>1. Pilih atau kirim depot lain</x:v>
      </x:c>
      <x:c r="G12" s="11" t="str">
        <x:v>Tidak ditawarkan dan tetap ditolak server</x:v>
      </x:c>
      <x:c r="H12" s="12"/>
      <x:c r="I12" s="12" t="str">
        <x:v>Not Run</x:v>
      </x:c>
      <x:c r="J12" s="12"/>
      <x:c r="K12" s="12"/>
      <x:c r="L12" s="12"/>
      <x:c r="M12" s="13"/>
      <x:c r="N12" s="11" t="str">
        <x:v>Bisnis</x:v>
      </x:c>
      <x:c r="O12" s="12"/>
    </x:row>
    <x:row r="13" ht="112" customHeight="1">
      <x:c r="A13" s="7" t="str">
        <x:v>ACCESS-04</x:v>
      </x:c>
      <x:c r="B13" s="7" t="str">
        <x:v>Access</x:v>
      </x:c>
      <x:c r="C13" s="7" t="str">
        <x:v>P0</x:v>
      </x:c>
      <x:c r="D13" s="7" t="str">
        <x:v>Registrasi manual valid</x:v>
      </x:c>
      <x:c r="E13" s="7" t="str">
        <x:v>Supervisor/System Manager berwenang dan identitas dummy baru tersedia.</x:v>
      </x:c>
      <x:c r="F13" s="7" t="str">
        <x:v>1. Buka Registrasi
2. isi identitas, role, depot dan area
3. klik Buat Akun satu kali
4. Segarkan Data
5. buka akun baru.</x:v>
      </x:c>
      <x:c r="G13" s="7" t="str">
        <x:v>Satu akun terbentuk dengan identitas dan area benar. Wajib ganti PIN awal. QA memeriksa tidak ada akun/profil parsial.</x:v>
      </x:c>
      <x:c r="H13" s="12"/>
      <x:c r="I13" s="12" t="str">
        <x:v>Not Run</x:v>
      </x:c>
      <x:c r="J13" s="12"/>
      <x:c r="K13" s="12"/>
      <x:c r="L13" s="12"/>
      <x:c r="M13" s="13"/>
      <x:c r="N13" s="7" t="str">
        <x:v>Bisnis</x:v>
      </x:c>
      <x:c r="O13" s="12"/>
    </x:row>
    <x:row r="14" ht="84" customHeight="1">
      <x:c r="A14" s="11" t="str">
        <x:v>ACCESS-05</x:v>
      </x:c>
      <x:c r="B14" s="11" t="str">
        <x:v>Access</x:v>
      </x:c>
      <x:c r="C14" s="11" t="str">
        <x:v>P0</x:v>
      </x:c>
      <x:c r="D14" s="11" t="str">
        <x:v>Klik Buat Akun dua kali</x:v>
      </x:c>
      <x:c r="E14" s="11" t="str">
        <x:v>Form valid</x:v>
      </x:c>
      <x:c r="F14" s="11" t="str">
        <x:v>1. Klik dua kali cepat</x:v>
      </x:c>
      <x:c r="G14" s="11" t="str">
        <x:v>Satu akun dan satu transaksi</x:v>
      </x:c>
      <x:c r="H14" s="12"/>
      <x:c r="I14" s="12" t="str">
        <x:v>Not Run</x:v>
      </x:c>
      <x:c r="J14" s="12"/>
      <x:c r="K14" s="12"/>
      <x:c r="L14" s="12"/>
      <x:c r="M14" s="13"/>
      <x:c r="N14" s="11" t="str">
        <x:v>Bisnis</x:v>
      </x:c>
      <x:c r="O14" s="12"/>
    </x:row>
    <x:row r="15" ht="84" customHeight="1">
      <x:c r="A15" s="7" t="str">
        <x:v>ACCESS-06</x:v>
      </x:c>
      <x:c r="B15" s="7" t="str">
        <x:v>Access</x:v>
      </x:c>
      <x:c r="C15" s="7" t="str">
        <x:v>P0</x:v>
      </x:c>
      <x:c r="D15" s="7" t="str">
        <x:v>Retry request ID sama</x:v>
      </x:c>
      <x:c r="E15" s="7" t="str">
        <x:v>QA menyimpan request ID dari pembuatan akun dummy yang berhasil.</x:v>
      </x:c>
      <x:c r="F15" s="7" t="str">
        <x:v>1. QA mengirim ulang permintaan dengan request ID dan isi yang sama
2. business tester memeriksa List Akun.</x:v>
      </x:c>
      <x:c r="G15" s="7" t="str">
        <x:v>Respons menunjuk akun yang sama; jumlah akun tidak bertambah dan PIN tidak berubah.</x:v>
      </x:c>
      <x:c r="H15" s="12"/>
      <x:c r="I15" s="12" t="str">
        <x:v>Not Run</x:v>
      </x:c>
      <x:c r="J15" s="12"/>
      <x:c r="K15" s="12"/>
      <x:c r="L15" s="12"/>
      <x:c r="M15" s="13"/>
      <x:c r="N15" s="7" t="str">
        <x:v>QA + bisnis</x:v>
      </x:c>
      <x:c r="O15" s="12"/>
    </x:row>
    <x:row r="16" ht="84" customHeight="1">
      <x:c r="A16" s="11" t="str">
        <x:v>ACCESS-07</x:v>
      </x:c>
      <x:c r="B16" s="11" t="str">
        <x:v>Access</x:v>
      </x:c>
      <x:c r="C16" s="11" t="str">
        <x:v>P0</x:v>
      </x:c>
      <x:c r="D16" s="11" t="str">
        <x:v>Request ID sama payload berbeda</x:v>
      </x:c>
      <x:c r="E16" s="11" t="str">
        <x:v>QA mempunyai request ID yang telah digunakan.</x:v>
      </x:c>
      <x:c r="F16" s="11" t="str">
        <x:v>1. QA kirim request ID yang sama dengan nama atau area berbeda
2. muat ulang List Akun.</x:v>
      </x:c>
      <x:c r="G16" s="11" t="str">
        <x:v>Konflik ditolak dan akun sebelumnya tetap dengan data semula.</x:v>
      </x:c>
      <x:c r="H16" s="12"/>
      <x:c r="I16" s="12" t="str">
        <x:v>Not Run</x:v>
      </x:c>
      <x:c r="J16" s="12"/>
      <x:c r="K16" s="12"/>
      <x:c r="L16" s="12"/>
      <x:c r="M16" s="13"/>
      <x:c r="N16" s="11" t="str">
        <x:v>QA + bisnis</x:v>
      </x:c>
      <x:c r="O16" s="12"/>
    </x:row>
    <x:row r="17" ht="84" customHeight="1">
      <x:c r="A17" s="7" t="str">
        <x:v>ACCESS-08</x:v>
      </x:c>
      <x:c r="B17" s="7" t="str">
        <x:v>Access</x:v>
      </x:c>
      <x:c r="C17" s="7" t="str">
        <x:v>P0</x:v>
      </x:c>
      <x:c r="D17" s="7" t="str">
        <x:v>Requester role/depot dimanipulasi</x:v>
      </x:c>
      <x:c r="E17" s="7" t="str">
        <x:v>User non-manager atau area kewenangan terbatas</x:v>
      </x:c>
      <x:c r="F17" s="7" t="str">
        <x:v>1. Ubah payload browser lalu submit</x:v>
      </x:c>
      <x:c r="G17" s="7" t="str">
        <x:v>Server tidak mempercayai nilai browser</x:v>
      </x:c>
      <x:c r="H17" s="12"/>
      <x:c r="I17" s="12" t="str">
        <x:v>Not Run</x:v>
      </x:c>
      <x:c r="J17" s="12"/>
      <x:c r="K17" s="12"/>
      <x:c r="L17" s="12"/>
      <x:c r="M17" s="13"/>
      <x:c r="N17" s="7" t="str">
        <x:v>QA + bisnis</x:v>
      </x:c>
      <x:c r="O17" s="12"/>
    </x:row>
    <x:row r="18" ht="84" customHeight="1">
      <x:c r="A18" s="11" t="str">
        <x:v>ACCESS-09</x:v>
      </x:c>
      <x:c r="B18" s="11" t="str">
        <x:v>Access</x:v>
      </x:c>
      <x:c r="C18" s="11" t="str">
        <x:v>P0</x:v>
      </x:c>
      <x:c r="D18" s="11" t="str">
        <x:v>Reviewer menyetujui request sendiri</x:v>
      </x:c>
      <x:c r="E18" s="11" t="str">
        <x:v>Request milik reviewer tersedia</x:v>
      </x:c>
      <x:c r="F18" s="11" t="str">
        <x:v>1. Reviewer mencoba approve</x:v>
      </x:c>
      <x:c r="G18" s="11" t="str">
        <x:v>Ditolak</x:v>
      </x:c>
      <x:c r="H18" s="12"/>
      <x:c r="I18" s="12" t="str">
        <x:v>Not Run</x:v>
      </x:c>
      <x:c r="J18" s="12"/>
      <x:c r="K18" s="12"/>
      <x:c r="L18" s="12"/>
      <x:c r="M18" s="13"/>
      <x:c r="N18" s="11" t="str">
        <x:v>Bisnis</x:v>
      </x:c>
      <x:c r="O18" s="12"/>
    </x:row>
    <x:row r="19" ht="84" customHeight="1">
      <x:c r="A19" s="7" t="str">
        <x:v>ACCESS-10</x:v>
      </x:c>
      <x:c r="B19" s="7" t="str">
        <x:v>Access</x:v>
      </x:c>
      <x:c r="C19" s="7" t="str">
        <x:v>P1</x:v>
      </x:c>
      <x:c r="D19" s="7" t="str">
        <x:v>Viewer membuka Access Management</x:v>
      </x:c>
      <x:c r="E19" s="7" t="str">
        <x:v>User hanya punya viewer</x:v>
      </x:c>
      <x:c r="F19" s="7" t="str">
        <x:v>1. Buka, cari, refresh, create/update</x:v>
      </x:c>
      <x:c r="G19" s="7" t="str">
        <x:v>Read berhasil sesuai scope; mutasi ditolak</x:v>
      </x:c>
      <x:c r="H19" s="12"/>
      <x:c r="I19" s="12" t="str">
        <x:v>Not Run</x:v>
      </x:c>
      <x:c r="J19" s="12"/>
      <x:c r="K19" s="12"/>
      <x:c r="L19" s="12"/>
      <x:c r="M19" s="13"/>
      <x:c r="N19" s="7" t="str">
        <x:v>Bisnis</x:v>
      </x:c>
      <x:c r="O19" s="12"/>
    </x:row>
    <x:row r="20" ht="84" customHeight="1">
      <x:c r="A20" s="11" t="str">
        <x:v>ACCESS-11</x:v>
      </x:c>
      <x:c r="B20" s="11" t="str">
        <x:v>Access</x:v>
      </x:c>
      <x:c r="C20" s="11" t="str">
        <x:v>P1</x:v>
      </x:c>
      <x:c r="D20" s="11" t="str">
        <x:v>Edit akses sebagian field</x:v>
      </x:c>
      <x:c r="E20" s="11" t="str">
        <x:v>User aktif tersedia</x:v>
      </x:c>
      <x:c r="F20" s="11" t="str">
        <x:v>1. Kirim hanya sebagian field</x:v>
      </x:c>
      <x:c r="G20" s="11" t="str">
        <x:v>Field yang tidak dikirim tetap dipertahankan</x:v>
      </x:c>
      <x:c r="H20" s="12"/>
      <x:c r="I20" s="12" t="str">
        <x:v>Not Run</x:v>
      </x:c>
      <x:c r="J20" s="12"/>
      <x:c r="K20" s="12"/>
      <x:c r="L20" s="12"/>
      <x:c r="M20" s="13"/>
      <x:c r="N20" s="11" t="str">
        <x:v>Bisnis</x:v>
      </x:c>
      <x:c r="O20" s="12"/>
    </x:row>
    <x:row r="21" ht="84" customHeight="1">
      <x:c r="A21" s="7" t="str">
        <x:v>ACCESS-12</x:v>
      </x:c>
      <x:c r="B21" s="7" t="str">
        <x:v>Access</x:v>
      </x:c>
      <x:c r="C21" s="7" t="str">
        <x:v>P0</x:v>
      </x:c>
      <x:c r="D21" s="7" t="str">
        <x:v>Perubahan role membersihkan mapping</x:v>
      </x:c>
      <x:c r="E21" s="7" t="str">
        <x:v>User memiliki mapping lama</x:v>
      </x:c>
      <x:c r="F21" s="7" t="str">
        <x:v>1. Ubah role lalu baca ulang akses</x:v>
      </x:c>
      <x:c r="G21" s="7" t="str">
        <x:v>Mapping/region tidak relevan dibersihkan</x:v>
      </x:c>
      <x:c r="H21" s="12"/>
      <x:c r="I21" s="12" t="str">
        <x:v>Not Run</x:v>
      </x:c>
      <x:c r="J21" s="12"/>
      <x:c r="K21" s="12"/>
      <x:c r="L21" s="12"/>
      <x:c r="M21" s="13"/>
      <x:c r="N21" s="7" t="str">
        <x:v>Bisnis</x:v>
      </x:c>
      <x:c r="O21" s="12"/>
    </x:row>
    <x:row r="22" ht="84" customHeight="1">
      <x:c r="A22" s="11" t="str">
        <x:v>USER-UP-01</x:v>
      </x:c>
      <x:c r="B22" s="11" t="str">
        <x:v>User Upload</x:v>
      </x:c>
      <x:c r="C22" s="11" t="str">
        <x:v>P1</x:v>
      </x:c>
      <x:c r="D22" s="11" t="str">
        <x:v>Download template user</x:v>
      </x:c>
      <x:c r="E22" s="11" t="str">
        <x:v>Supervisor atau System Manager memiliki akses Registrasi.</x:v>
      </x:c>
      <x:c r="F22" s="11" t="str">
        <x:v>1. Buka Registrasi
2. unduh template
3. periksa header dan contoh pengisian area.</x:v>
      </x:c>
      <x:c r="G22" s="11" t="str">
        <x:v>Tepat 7 kolom: User ID, Nama Lengkap, Kode Depot, Email, Role, PIN, Resource Partner / Area. Area memakai kode depot dipisahkan koma.</x:v>
      </x:c>
      <x:c r="H22" s="12"/>
      <x:c r="I22" s="12" t="str">
        <x:v>Not Run</x:v>
      </x:c>
      <x:c r="J22" s="12"/>
      <x:c r="K22" s="12"/>
      <x:c r="L22" s="12"/>
      <x:c r="M22" s="13"/>
      <x:c r="N22" s="11" t="str">
        <x:v>Bisnis</x:v>
      </x:c>
      <x:c r="O22" s="12"/>
    </x:row>
    <x:row r="23" ht="84" customHeight="1">
      <x:c r="A23" s="7" t="str">
        <x:v>USER-UP-02</x:v>
      </x:c>
      <x:c r="B23" s="7" t="str">
        <x:v>User Upload</x:v>
      </x:c>
      <x:c r="C23" s="7" t="str">
        <x:v>P0</x:v>
      </x:c>
      <x:c r="D23" s="7" t="str">
        <x:v>Upload file valid</x:v>
      </x:c>
      <x:c r="E23" s="7" t="str">
        <x:v>File &lt;=500 baris</x:v>
      </x:c>
      <x:c r="F23" s="7" t="str">
        <x:v>1. Pilih file
2. buka preview</x:v>
      </x:c>
      <x:c r="G23" s="7" t="str">
        <x:v>Identitas, role, depot asal, dan semua area terlihat</x:v>
      </x:c>
      <x:c r="H23" s="12"/>
      <x:c r="I23" s="12" t="str">
        <x:v>Not Run</x:v>
      </x:c>
      <x:c r="J23" s="12"/>
      <x:c r="K23" s="12"/>
      <x:c r="L23" s="12"/>
      <x:c r="M23" s="13"/>
      <x:c r="N23" s="7" t="str">
        <x:v>Bisnis</x:v>
      </x:c>
      <x:c r="O23" s="12"/>
    </x:row>
    <x:row r="24" ht="84" customHeight="1">
      <x:c r="A24" s="11" t="str">
        <x:v>USER-UP-03</x:v>
      </x:c>
      <x:c r="B24" s="11" t="str">
        <x:v>User Upload</x:v>
      </x:c>
      <x:c r="C24" s="11" t="str">
        <x:v>P0</x:v>
      </x:c>
      <x:c r="D24" s="11" t="str">
        <x:v>Upload &gt;500 user</x:v>
      </x:c>
      <x:c r="E24" s="11" t="str">
        <x:v>File 501 baris</x:v>
      </x:c>
      <x:c r="F24" s="11" t="str">
        <x:v>1. Upload file</x:v>
      </x:c>
      <x:c r="G24" s="11" t="str">
        <x:v>Ditolak; tidak dipotong diam-diam</x:v>
      </x:c>
      <x:c r="H24" s="12"/>
      <x:c r="I24" s="12" t="str">
        <x:v>Not Run</x:v>
      </x:c>
      <x:c r="J24" s="12"/>
      <x:c r="K24" s="12"/>
      <x:c r="L24" s="12"/>
      <x:c r="M24" s="13"/>
      <x:c r="N24" s="11" t="str">
        <x:v>Bisnis</x:v>
      </x:c>
      <x:c r="O24" s="12"/>
    </x:row>
    <x:row r="25" ht="84" customHeight="1">
      <x:c r="A25" s="7" t="str">
        <x:v>USER-UP-04</x:v>
      </x:c>
      <x:c r="B25" s="7" t="str">
        <x:v>User Upload</x:v>
      </x:c>
      <x:c r="C25" s="7" t="str">
        <x:v>P1</x:v>
      </x:c>
      <x:c r="D25" s="7" t="str">
        <x:v>PIN invalid atau nama terlalu panjang</x:v>
      </x:c>
      <x:c r="E25" s="7" t="str">
        <x:v>File data dummy invalid</x:v>
      </x:c>
      <x:c r="F25" s="7" t="str">
        <x:v>1. Preview file</x:v>
      </x:c>
      <x:c r="G25" s="7" t="str">
        <x:v>Baris ditolak dengan alasan jelas</x:v>
      </x:c>
      <x:c r="H25" s="12"/>
      <x:c r="I25" s="12" t="str">
        <x:v>Not Run</x:v>
      </x:c>
      <x:c r="J25" s="12"/>
      <x:c r="K25" s="12"/>
      <x:c r="L25" s="12"/>
      <x:c r="M25" s="13"/>
      <x:c r="N25" s="7" t="str">
        <x:v>Bisnis</x:v>
      </x:c>
      <x:c r="O25" s="12"/>
    </x:row>
    <x:row r="26" ht="84" customHeight="1">
      <x:c r="A26" s="11" t="str">
        <x:v>USER-UP-05</x:v>
      </x:c>
      <x:c r="B26" s="11" t="str">
        <x:v>User Upload</x:v>
      </x:c>
      <x:c r="C26" s="11" t="str">
        <x:v>P0</x:v>
      </x:c>
      <x:c r="D26" s="11" t="str">
        <x:v>Ajukan upload</x:v>
      </x:c>
      <x:c r="E26" s="11" t="str">
        <x:v>Preview valid</x:v>
      </x:c>
      <x:c r="F26" s="11" t="str">
        <x:v>1. Klik Ajukan Approval</x:v>
      </x:c>
      <x:c r="G26" s="11" t="str">
        <x:v>Status Pending; belum ada grant efektif</x:v>
      </x:c>
      <x:c r="H26" s="12"/>
      <x:c r="I26" s="12" t="str">
        <x:v>Not Run</x:v>
      </x:c>
      <x:c r="J26" s="12"/>
      <x:c r="K26" s="12"/>
      <x:c r="L26" s="12"/>
      <x:c r="M26" s="13"/>
      <x:c r="N26" s="11" t="str">
        <x:v>Bisnis</x:v>
      </x:c>
      <x:c r="O26" s="12"/>
    </x:row>
    <x:row r="27" ht="112" customHeight="1">
      <x:c r="A27" s="7" t="str">
        <x:v>USER-UP-06</x:v>
      </x:c>
      <x:c r="B27" s="7" t="str">
        <x:v>User Upload</x:v>
      </x:c>
      <x:c r="C27" s="7" t="str">
        <x:v>P0</x:v>
      </x:c>
      <x:c r="D27" s="7" t="str">
        <x:v>Approve upload</x:v>
      </x:c>
      <x:c r="E27" s="7" t="str">
        <x:v>Proposal upload Pending dan reviewer lain mempunyai wewenang atas semua depot usulan.</x:v>
      </x:c>
      <x:c r="F27" s="7" t="str">
        <x:v>1. Buka Approval Request
2. periksa role dan area
3. Approve
4. refresh List Akun
5. login akun dummy lalu ganti PIN awal.</x:v>
      </x:c>
      <x:c r="G27" s="7" t="str">
        <x:v>Akun aktif; suffix otomatis; seluruh area disetujui diterapkan; bisnis baru terbuka setelah ganti PIN awal dan sesuai izin.</x:v>
      </x:c>
      <x:c r="H27" s="12"/>
      <x:c r="I27" s="12" t="str">
        <x:v>Not Run</x:v>
      </x:c>
      <x:c r="J27" s="12"/>
      <x:c r="K27" s="12"/>
      <x:c r="L27" s="12"/>
      <x:c r="M27" s="13"/>
      <x:c r="N27" s="7" t="str">
        <x:v>Bisnis</x:v>
      </x:c>
      <x:c r="O27" s="12"/>
    </x:row>
    <x:row r="28" ht="84" customHeight="1">
      <x:c r="A28" s="11" t="str">
        <x:v>USER-UP-07</x:v>
      </x:c>
      <x:c r="B28" s="11" t="str">
        <x:v>User Upload</x:v>
      </x:c>
      <x:c r="C28" s="11" t="str">
        <x:v>P0</x:v>
      </x:c>
      <x:c r="D28" s="11" t="str">
        <x:v>Reject upload</x:v>
      </x:c>
      <x:c r="E28" s="11" t="str">
        <x:v>Proposal Pending</x:v>
      </x:c>
      <x:c r="F28" s="11" t="str">
        <x:v>1. Reject proposal</x:v>
      </x:c>
      <x:c r="G28" s="11" t="str">
        <x:v>Akun tetap tidak aktif tanpa grant</x:v>
      </x:c>
      <x:c r="H28" s="12"/>
      <x:c r="I28" s="12" t="str">
        <x:v>Not Run</x:v>
      </x:c>
      <x:c r="J28" s="12"/>
      <x:c r="K28" s="12"/>
      <x:c r="L28" s="12"/>
      <x:c r="M28" s="13"/>
      <x:c r="N28" s="11" t="str">
        <x:v>Bisnis</x:v>
      </x:c>
      <x:c r="O28" s="12"/>
    </x:row>
    <x:row r="29" ht="84" customHeight="1">
      <x:c r="A29" s="7" t="str">
        <x:v>USER-UP-08</x:v>
      </x:c>
      <x:c r="B29" s="7" t="str">
        <x:v>User Upload</x:v>
      </x:c>
      <x:c r="C29" s="7" t="str">
        <x:v>P0</x:v>
      </x:c>
      <x:c r="D29" s="7" t="str">
        <x:v>Retry upload</x:v>
      </x:c>
      <x:c r="E29" s="7" t="str">
        <x:v>Request yang sama pernah diajukan</x:v>
      </x:c>
      <x:c r="F29" s="7" t="str">
        <x:v>1. Klik Retry Gagal</x:v>
      </x:c>
      <x:c r="G29" s="7" t="str">
        <x:v>Tidak membuat duplikat atau mengganti PIN</x:v>
      </x:c>
      <x:c r="H29" s="12"/>
      <x:c r="I29" s="12" t="str">
        <x:v>Not Run</x:v>
      </x:c>
      <x:c r="J29" s="12"/>
      <x:c r="K29" s="12"/>
      <x:c r="L29" s="12"/>
      <x:c r="M29" s="13"/>
      <x:c r="N29" s="7" t="str">
        <x:v>Bisnis</x:v>
      </x:c>
      <x:c r="O29" s="12"/>
    </x:row>
    <x:row r="30" ht="84" customHeight="1">
      <x:c r="A30" s="11" t="str">
        <x:v>USER-UP-09</x:v>
      </x:c>
      <x:c r="B30" s="11" t="str">
        <x:v>User Upload</x:v>
      </x:c>
      <x:c r="C30" s="11" t="str">
        <x:v>P0</x:v>
      </x:c>
      <x:c r="D30" s="11" t="str">
        <x:v>PIN tidak bocor</x:v>
      </x:c>
      <x:c r="E30" s="11" t="str">
        <x:v>File dummy memiliki PIN yang hanya diketahui tester.</x:v>
      </x:c>
      <x:c r="F30" s="11" t="str">
        <x:v>1. Periksa preview, detail proposal dan Log Activity
2. QA periksa respons/ledger tanpa menyimpan PIN dalam bukti.</x:v>
      </x:c>
      <x:c r="G30" s="11" t="str">
        <x:v>PIN tidak tampil dalam preview, proposal atau log. Penyimpanan autentikasi tidak diekspos sebagai PIN terbaca.</x:v>
      </x:c>
      <x:c r="H30" s="12"/>
      <x:c r="I30" s="12" t="str">
        <x:v>Not Run</x:v>
      </x:c>
      <x:c r="J30" s="12"/>
      <x:c r="K30" s="12"/>
      <x:c r="L30" s="12"/>
      <x:c r="M30" s="13"/>
      <x:c r="N30" s="11" t="str">
        <x:v>Bisnis</x:v>
      </x:c>
      <x:c r="O30" s="12"/>
    </x:row>
    <x:row r="31" ht="84" customHeight="1">
      <x:c r="A31" s="7" t="str">
        <x:v>USER-UP-10</x:v>
      </x:c>
      <x:c r="B31" s="7" t="str">
        <x:v>User Upload</x:v>
      </x:c>
      <x:c r="C31" s="7" t="str">
        <x:v>P0</x:v>
      </x:c>
      <x:c r="D31" s="7" t="str">
        <x:v>Supervisor upload System Manager</x:v>
      </x:c>
      <x:c r="E31" s="7" t="str">
        <x:v>Login Supervisor</x:v>
      </x:c>
      <x:c r="F31" s="7" t="str">
        <x:v>1. Upload role System Manager</x:v>
      </x:c>
      <x:c r="G31" s="7" t="str">
        <x:v>Ditolak</x:v>
      </x:c>
      <x:c r="H31" s="12"/>
      <x:c r="I31" s="12" t="str">
        <x:v>Not Run</x:v>
      </x:c>
      <x:c r="J31" s="12"/>
      <x:c r="K31" s="12"/>
      <x:c r="L31" s="12"/>
      <x:c r="M31" s="13"/>
      <x:c r="N31" s="7" t="str">
        <x:v>Bisnis</x:v>
      </x:c>
      <x:c r="O31" s="12"/>
    </x:row>
    <x:row r="32" ht="128" customHeight="1">
      <x:c r="A32" s="11" t="str">
        <x:v>CLAIM-UP-01</x:v>
      </x:c>
      <x:c r="B32" s="11" t="str">
        <x:v>Claim Upload</x:v>
      </x:c>
      <x:c r="C32" s="11" t="str">
        <x:v>P0</x:v>
      </x:c>
      <x:c r="D32" s="11" t="str">
        <x:v>Preview dan submit satu claim</x:v>
      </x:c>
      <x:c r="E32" s="11" t="str">
        <x:v>Dokumen dummy Not Yet, kelengkapan valid, dan izin upload tersedia.</x:v>
      </x:c>
      <x:c r="F32" s="11" t="str">
        <x:v>1. Buka Manual Input
2. pilih dokumen
3. isi data
4. Preview Data
5. posting sekali
6. buka Analytics dan Log Activity.</x:v>
      </x:c>
      <x:c r="G32" s="11" t="str">
        <x:v>Dokumen menjadi Submitted dan menunggu approval. Batch, pelaku dan timestamp dapat ditelusuri; bukan langsung Approved.</x:v>
      </x:c>
      <x:c r="H32" s="12"/>
      <x:c r="I32" s="12" t="str">
        <x:v>Not Run</x:v>
      </x:c>
      <x:c r="J32" s="12"/>
      <x:c r="K32" s="12"/>
      <x:c r="L32" s="12"/>
      <x:c r="M32" s="13"/>
      <x:c r="N32" s="11" t="str">
        <x:v>Bisnis</x:v>
      </x:c>
      <x:c r="O32" s="12"/>
    </x:row>
    <x:row r="33" ht="84" customHeight="1">
      <x:c r="A33" s="7" t="str">
        <x:v>CLAIM-UP-02</x:v>
      </x:c>
      <x:c r="B33" s="7" t="str">
        <x:v>Claim Upload</x:v>
      </x:c>
      <x:c r="C33" s="7" t="str">
        <x:v>P0</x:v>
      </x:c>
      <x:c r="D33" s="7" t="str">
        <x:v>Submit batch valid</x:v>
      </x:c>
      <x:c r="E33" s="7" t="str">
        <x:v>Batch &lt;=500 item</x:v>
      </x:c>
      <x:c r="F33" s="7" t="str">
        <x:v>1. Upload/submit batch</x:v>
      </x:c>
      <x:c r="G33" s="7" t="str">
        <x:v>Semua item sukses sesuai limit</x:v>
      </x:c>
      <x:c r="H33" s="12"/>
      <x:c r="I33" s="12" t="str">
        <x:v>Not Run</x:v>
      </x:c>
      <x:c r="J33" s="12"/>
      <x:c r="K33" s="12"/>
      <x:c r="L33" s="12"/>
      <x:c r="M33" s="13"/>
      <x:c r="N33" s="7" t="str">
        <x:v>Bisnis</x:v>
      </x:c>
      <x:c r="O33" s="12"/>
    </x:row>
    <x:row r="34" ht="84" customHeight="1">
      <x:c r="A34" s="11" t="str">
        <x:v>CLAIM-UP-03</x:v>
      </x:c>
      <x:c r="B34" s="11" t="str">
        <x:v>Claim Upload</x:v>
      </x:c>
      <x:c r="C34" s="11" t="str">
        <x:v>P0</x:v>
      </x:c>
      <x:c r="D34" s="11" t="str">
        <x:v>Batch &gt;500 item</x:v>
      </x:c>
      <x:c r="E34" s="11" t="str">
        <x:v>Batch 501 item</x:v>
      </x:c>
      <x:c r="F34" s="11" t="str">
        <x:v>1. Submit batch</x:v>
      </x:c>
      <x:c r="G34" s="11" t="str">
        <x:v>Ditolak tanpa silent truncation</x:v>
      </x:c>
      <x:c r="H34" s="12"/>
      <x:c r="I34" s="12" t="str">
        <x:v>Not Run</x:v>
      </x:c>
      <x:c r="J34" s="12"/>
      <x:c r="K34" s="12"/>
      <x:c r="L34" s="12"/>
      <x:c r="M34" s="13"/>
      <x:c r="N34" s="11" t="str">
        <x:v>Bisnis</x:v>
      </x:c>
      <x:c r="O34" s="12"/>
    </x:row>
    <x:row r="35" ht="84" customHeight="1">
      <x:c r="A35" s="7" t="str">
        <x:v>CLAIM-UP-04</x:v>
      </x:c>
      <x:c r="B35" s="7" t="str">
        <x:v>Claim Upload</x:v>
      </x:c>
      <x:c r="C35" s="7" t="str">
        <x:v>P0</x:v>
      </x:c>
      <x:c r="D35" s="7" t="str">
        <x:v>Duplikat dalam file</x:v>
      </x:c>
      <x:c r="E35" s="7" t="str">
        <x:v>File berisi duplikat</x:v>
      </x:c>
      <x:c r="F35" s="7" t="str">
        <x:v>1. Preview dan submit</x:v>
      </x:c>
      <x:c r="G35" s="7" t="str">
        <x:v>Duplikat ditandai; tidak ada transaksi ganda</x:v>
      </x:c>
      <x:c r="H35" s="12"/>
      <x:c r="I35" s="12" t="str">
        <x:v>Not Run</x:v>
      </x:c>
      <x:c r="J35" s="12"/>
      <x:c r="K35" s="12"/>
      <x:c r="L35" s="12"/>
      <x:c r="M35" s="13"/>
      <x:c r="N35" s="7" t="str">
        <x:v>Bisnis</x:v>
      </x:c>
      <x:c r="O35" s="12"/>
    </x:row>
    <x:row r="36" ht="84" customHeight="1">
      <x:c r="A36" s="11" t="str">
        <x:v>CLAIM-UP-05</x:v>
      </x:c>
      <x:c r="B36" s="11" t="str">
        <x:v>Claim Upload</x:v>
      </x:c>
      <x:c r="C36" s="11" t="str">
        <x:v>P0</x:v>
      </x:c>
      <x:c r="D36" s="11" t="str">
        <x:v>Versi usang</x:v>
      </x:c>
      <x:c r="E36" s="11" t="str">
        <x:v>Dua sesi membuka versi dokumen dummy yang sama.</x:v>
      </x:c>
      <x:c r="F36" s="11" t="str">
        <x:v>1. Sesi A mengubah dokumen
2. sesi B mencoba mengirim data dari tampilan lamanya.</x:v>
      </x:c>
      <x:c r="G36" s="11" t="str">
        <x:v>Pengiriman sesi B ditolak sebagai data telah berubah; tidak menimpa hasil sesi A.</x:v>
      </x:c>
      <x:c r="H36" s="12"/>
      <x:c r="I36" s="12" t="str">
        <x:v>Not Run</x:v>
      </x:c>
      <x:c r="J36" s="12"/>
      <x:c r="K36" s="12"/>
      <x:c r="L36" s="12"/>
      <x:c r="M36" s="13"/>
      <x:c r="N36" s="11" t="str">
        <x:v>Bisnis</x:v>
      </x:c>
      <x:c r="O36" s="12"/>
    </x:row>
    <x:row r="37" ht="84" customHeight="1">
      <x:c r="A37" s="7" t="str">
        <x:v>CLAIM-UP-06</x:v>
      </x:c>
      <x:c r="B37" s="7" t="str">
        <x:v>Claim Upload</x:v>
      </x:c>
      <x:c r="C37" s="7" t="str">
        <x:v>P1</x:v>
      </x:c>
      <x:c r="D37" s="7" t="str">
        <x:v>Leading zero</x:v>
      </x:c>
      <x:c r="E37" s="7" t="str">
        <x:v>Data rekening/customer/KTP/NPWP berawalan nol</x:v>
      </x:c>
      <x:c r="F37" s="7" t="str">
        <x:v>1. Upload dan baca detail</x:v>
      </x:c>
      <x:c r="G37" s="7" t="str">
        <x:v>Nilai tetap teks dan tidak kehilangan nol</x:v>
      </x:c>
      <x:c r="H37" s="12"/>
      <x:c r="I37" s="12" t="str">
        <x:v>Not Run</x:v>
      </x:c>
      <x:c r="J37" s="12"/>
      <x:c r="K37" s="12"/>
      <x:c r="L37" s="12"/>
      <x:c r="M37" s="13"/>
      <x:c r="N37" s="7" t="str">
        <x:v>Bisnis</x:v>
      </x:c>
      <x:c r="O37" s="12"/>
    </x:row>
    <x:row r="38" ht="84" customHeight="1">
      <x:c r="A38" s="11" t="str">
        <x:v>CLAIM-UP-07</x:v>
      </x:c>
      <x:c r="B38" s="11" t="str">
        <x:v>Claim Upload</x:v>
      </x:c>
      <x:c r="C38" s="11" t="str">
        <x:v>P0</x:v>
      </x:c>
      <x:c r="D38" s="11" t="str">
        <x:v>Tanggal invalid/ambigu</x:v>
      </x:c>
      <x:c r="E38" s="11" t="str">
        <x:v>File tanggal invalid</x:v>
      </x:c>
      <x:c r="F38" s="11" t="str">
        <x:v>1. Preview dan submit</x:v>
      </x:c>
      <x:c r="G38" s="11" t="str">
        <x:v>Ditolak; sistem tidak menebak tanggal</x:v>
      </x:c>
      <x:c r="H38" s="12"/>
      <x:c r="I38" s="12" t="str">
        <x:v>Not Run</x:v>
      </x:c>
      <x:c r="J38" s="12"/>
      <x:c r="K38" s="12"/>
      <x:c r="L38" s="12"/>
      <x:c r="M38" s="13"/>
      <x:c r="N38" s="11" t="str">
        <x:v>Bisnis</x:v>
      </x:c>
      <x:c r="O38" s="12"/>
    </x:row>
    <x:row r="39" ht="84" customHeight="1">
      <x:c r="A39" s="7" t="str">
        <x:v>CLAIM-UP-08</x:v>
      </x:c>
      <x:c r="B39" s="7" t="str">
        <x:v>Claim Upload</x:v>
      </x:c>
      <x:c r="C39" s="7" t="str">
        <x:v>P0</x:v>
      </x:c>
      <x:c r="D39" s="7" t="str">
        <x:v>Jenis cashback</x:v>
      </x:c>
      <x:c r="E39" s="7" t="str">
        <x:v>Dokumen dummy untuk Transfer, CN, Rebate, RA07/RA7 dan alias Voucher sesuai konfigurasi.</x:v>
      </x:c>
      <x:c r="F39" s="7" t="str">
        <x:v>1. Preview tiap jenis
2. catat Jenis CB yang diselesaikan sistem
3. kirim dan telusuri alurnya bersama reviewer.</x:v>
      </x:c>
      <x:c r="G39" s="7" t="str">
        <x:v>Transfer/CN mengikuti release–claim–done; Rebate melalui Bulk Process; RA07/RA7 menjadi Rebate Manual. Alias Voucher diperiksa QA terhadap aturan yang dikonfigurasi.</x:v>
      </x:c>
      <x:c r="H39" s="12"/>
      <x:c r="I39" s="12" t="str">
        <x:v>Not Run</x:v>
      </x:c>
      <x:c r="J39" s="12"/>
      <x:c r="K39" s="12"/>
      <x:c r="L39" s="12"/>
      <x:c r="M39" s="13"/>
      <x:c r="N39" s="7" t="str">
        <x:v>Bisnis</x:v>
      </x:c>
      <x:c r="O39" s="12"/>
    </x:row>
    <x:row r="40" ht="84" customHeight="1">
      <x:c r="A40" s="11" t="str">
        <x:v>CLAIM-UP-09</x:v>
      </x:c>
      <x:c r="B40" s="11" t="str">
        <x:v>Claim Upload</x:v>
      </x:c>
      <x:c r="C40" s="11" t="str">
        <x:v>P0</x:v>
      </x:c>
      <x:c r="D40" s="11" t="str">
        <x:v>Transfer tanpa rekening</x:v>
      </x:c>
      <x:c r="E40" s="11" t="str">
        <x:v>Claim Transfer tanpa rekening</x:v>
      </x:c>
      <x:c r="F40" s="11" t="str">
        <x:v>1. Submit</x:v>
      </x:c>
      <x:c r="G40" s="11" t="str">
        <x:v>Ditolak sesuai validasi</x:v>
      </x:c>
      <x:c r="H40" s="12"/>
      <x:c r="I40" s="12" t="str">
        <x:v>Not Run</x:v>
      </x:c>
      <x:c r="J40" s="12"/>
      <x:c r="K40" s="12"/>
      <x:c r="L40" s="12"/>
      <x:c r="M40" s="13"/>
      <x:c r="N40" s="11" t="str">
        <x:v>Bisnis</x:v>
      </x:c>
      <x:c r="O40" s="12"/>
    </x:row>
    <x:row r="41" ht="84" customHeight="1">
      <x:c r="A41" s="7" t="str">
        <x:v>CLAIM-UP-10</x:v>
      </x:c>
      <x:c r="B41" s="7" t="str">
        <x:v>Claim Upload</x:v>
      </x:c>
      <x:c r="C41" s="7" t="str">
        <x:v>P0</x:v>
      </x:c>
      <x:c r="D41" s="7" t="str">
        <x:v>Retry submit</x:v>
      </x:c>
      <x:c r="E41" s="7" t="str">
        <x:v>Request ID sama</x:v>
      </x:c>
      <x:c r="F41" s="7" t="str">
        <x:v>1. Kirim dua kali</x:v>
      </x:c>
      <x:c r="G41" s="7" t="str">
        <x:v>Tidak menggandakan claim/history</x:v>
      </x:c>
      <x:c r="H41" s="12"/>
      <x:c r="I41" s="12" t="str">
        <x:v>Not Run</x:v>
      </x:c>
      <x:c r="J41" s="12"/>
      <x:c r="K41" s="12"/>
      <x:c r="L41" s="12"/>
      <x:c r="M41" s="13"/>
      <x:c r="N41" s="7" t="str">
        <x:v>QA + bisnis</x:v>
      </x:c>
      <x:c r="O41" s="12"/>
    </x:row>
    <x:row r="42" ht="84" customHeight="1">
      <x:c r="A42" s="11" t="str">
        <x:v>APPROVAL-01</x:v>
      </x:c>
      <x:c r="B42" s="11" t="str">
        <x:v>Approval</x:v>
      </x:c>
      <x:c r="C42" s="11" t="str">
        <x:v>P0</x:v>
      </x:c>
      <x:c r="D42" s="11" t="str">
        <x:v>Approve submit normal</x:v>
      </x:c>
      <x:c r="E42" s="11" t="str">
        <x:v>Item Submitted pending</x:v>
      </x:c>
      <x:c r="F42" s="11" t="str">
        <x:v>1. Approve</x:v>
      </x:c>
      <x:c r="G42" s="11" t="str">
        <x:v>Submitted menjadi Approved</x:v>
      </x:c>
      <x:c r="H42" s="12"/>
      <x:c r="I42" s="12" t="str">
        <x:v>Not Run</x:v>
      </x:c>
      <x:c r="J42" s="12"/>
      <x:c r="K42" s="12"/>
      <x:c r="L42" s="12"/>
      <x:c r="M42" s="13"/>
      <x:c r="N42" s="11" t="str">
        <x:v>Bisnis</x:v>
      </x:c>
      <x:c r="O42" s="12"/>
    </x:row>
    <x:row r="43" ht="84" customHeight="1">
      <x:c r="A43" s="7" t="str">
        <x:v>APPROVAL-02</x:v>
      </x:c>
      <x:c r="B43" s="7" t="str">
        <x:v>Approval</x:v>
      </x:c>
      <x:c r="C43" s="7" t="str">
        <x:v>P0</x:v>
      </x:c>
      <x:c r="D43" s="7" t="str">
        <x:v>Reject submit normal</x:v>
      </x:c>
      <x:c r="E43" s="7" t="str">
        <x:v>Item Submitted pending</x:v>
      </x:c>
      <x:c r="F43" s="7" t="str">
        <x:v>1. Reject</x:v>
      </x:c>
      <x:c r="G43" s="7" t="str">
        <x:v>Kembali Not Yet dan dapat diajukan ulang</x:v>
      </x:c>
      <x:c r="H43" s="12"/>
      <x:c r="I43" s="12" t="str">
        <x:v>Not Run</x:v>
      </x:c>
      <x:c r="J43" s="12"/>
      <x:c r="K43" s="12"/>
      <x:c r="L43" s="12"/>
      <x:c r="M43" s="13"/>
      <x:c r="N43" s="7" t="str">
        <x:v>Bisnis</x:v>
      </x:c>
      <x:c r="O43" s="12"/>
    </x:row>
    <x:row r="44" ht="84" customHeight="1">
      <x:c r="A44" s="11" t="str">
        <x:v>APPROVAL-03</x:v>
      </x:c>
      <x:c r="B44" s="11" t="str">
        <x:v>Approval</x:v>
      </x:c>
      <x:c r="C44" s="11" t="str">
        <x:v>P0</x:v>
      </x:c>
      <x:c r="D44" s="11" t="str">
        <x:v>Approve Rebate</x:v>
      </x:c>
      <x:c r="E44" s="11" t="str">
        <x:v>Item Rebate Submitted</x:v>
      </x:c>
      <x:c r="F44" s="11" t="str">
        <x:v>1. Approve lalu proses</x:v>
      </x:c>
      <x:c r="G44" s="11" t="str">
        <x:v>Approved -&gt; Bulk Process -&gt; Done</x:v>
      </x:c>
      <x:c r="H44" s="12"/>
      <x:c r="I44" s="12" t="str">
        <x:v>Not Run</x:v>
      </x:c>
      <x:c r="J44" s="12"/>
      <x:c r="K44" s="12"/>
      <x:c r="L44" s="12"/>
      <x:c r="M44" s="13"/>
      <x:c r="N44" s="11" t="str">
        <x:v>Bisnis</x:v>
      </x:c>
      <x:c r="O44" s="12"/>
    </x:row>
    <x:row r="45" ht="84" customHeight="1">
      <x:c r="A45" s="7" t="str">
        <x:v>APPROVAL-04</x:v>
      </x:c>
      <x:c r="B45" s="7" t="str">
        <x:v>Approval</x:v>
      </x:c>
      <x:c r="C45" s="7" t="str">
        <x:v>P0</x:v>
      </x:c>
      <x:c r="D45" s="7" t="str">
        <x:v>Approve Rebate Manual RA07/RA7</x:v>
      </x:c>
      <x:c r="E45" s="7" t="str">
        <x:v>Item Rebate Manual</x:v>
      </x:c>
      <x:c r="F45" s="7" t="str">
        <x:v>1. Approve</x:v>
      </x:c>
      <x:c r="G45" s="7" t="str">
        <x:v>Menjadi Done; tahap approval dan done tercatat</x:v>
      </x:c>
      <x:c r="H45" s="12"/>
      <x:c r="I45" s="12" t="str">
        <x:v>Not Run</x:v>
      </x:c>
      <x:c r="J45" s="12"/>
      <x:c r="K45" s="12"/>
      <x:c r="L45" s="12"/>
      <x:c r="M45" s="13"/>
      <x:c r="N45" s="7" t="str">
        <x:v>Bisnis</x:v>
      </x:c>
      <x:c r="O45" s="12"/>
    </x:row>
    <x:row r="46" ht="84" customHeight="1">
      <x:c r="A46" s="11" t="str">
        <x:v>APPROVAL-05</x:v>
      </x:c>
      <x:c r="B46" s="11" t="str">
        <x:v>Approval</x:v>
      </x:c>
      <x:c r="C46" s="11" t="str">
        <x:v>P0</x:v>
      </x:c>
      <x:c r="D46" s="11" t="str">
        <x:v>Hold dari Upload</x:v>
      </x:c>
      <x:c r="E46" s="11" t="str">
        <x:v>Dokumen Not Yet dan dua pengajuan dummy terpisah untuk Approve/Reject.</x:v>
      </x:c>
      <x:c r="F46" s="11" t="str">
        <x:v>1. Ajukan On Hold beserta usulan SO/Billing
2. catat status dan periode sebelum keputusan
3. reviewer Approve dokumen pertama dan Reject dokumen kedua.</x:v>
      </x:c>
      <x:c r="G46" s="11" t="str">
        <x:v>Selama pending nilai efektif tetap semula. Approve menerapkan usulan; Reject mempertahankan nilai semula.</x:v>
      </x:c>
      <x:c r="H46" s="12"/>
      <x:c r="I46" s="12" t="str">
        <x:v>Not Run</x:v>
      </x:c>
      <x:c r="J46" s="12"/>
      <x:c r="K46" s="12"/>
      <x:c r="L46" s="12"/>
      <x:c r="M46" s="13"/>
      <x:c r="N46" s="11" t="str">
        <x:v>Bisnis</x:v>
      </x:c>
      <x:c r="O46" s="12"/>
    </x:row>
    <x:row r="47" ht="96" customHeight="1">
      <x:c r="A47" s="7" t="str">
        <x:v>APPROVAL-06</x:v>
      </x:c>
      <x:c r="B47" s="7" t="str">
        <x:v>Approval</x:v>
      </x:c>
      <x:c r="C47" s="7" t="str">
        <x:v>P0</x:v>
      </x:c>
      <x:c r="D47" s="7" t="str">
        <x:v>Expired dari Upload</x:v>
      </x:c>
      <x:c r="E47" s="7" t="str">
        <x:v>Dua dokumen Not Yet untuk Approve/Reject Expired.</x:v>
      </x:c>
      <x:c r="F47" s="7" t="str">
        <x:v>1. Ajukan Expired dari Claim Upload
2. periksa status
3. reviewer Approve satu dan Reject satu
4. muat ulang Analytics.</x:v>
      </x:c>
      <x:c r="G47" s="7" t="str">
        <x:v>Selama pending masih Not Yet. Hanya dokumen disetujui menjadi Expired; yang ditolak mempertahankan status sebelumnya.</x:v>
      </x:c>
      <x:c r="H47" s="12"/>
      <x:c r="I47" s="12" t="str">
        <x:v>Not Run</x:v>
      </x:c>
      <x:c r="J47" s="12"/>
      <x:c r="K47" s="12"/>
      <x:c r="L47" s="12"/>
      <x:c r="M47" s="13"/>
      <x:c r="N47" s="7" t="str">
        <x:v>Bisnis</x:v>
      </x:c>
      <x:c r="O47" s="12"/>
    </x:row>
    <x:row r="48" ht="84" customHeight="1">
      <x:c r="A48" s="11" t="str">
        <x:v>APPROVAL-07</x:v>
      </x:c>
      <x:c r="B48" s="11" t="str">
        <x:v>Approval</x:v>
      </x:c>
      <x:c r="C48" s="11" t="str">
        <x:v>P0</x:v>
      </x:c>
      <x:c r="D48" s="11" t="str">
        <x:v>Item sudah diputuskan</x:v>
      </x:c>
      <x:c r="E48" s="11" t="str">
        <x:v>Item sudah approved/rejected</x:v>
      </x:c>
      <x:c r="F48" s="11" t="str">
        <x:v>1. Buka antrean</x:v>
      </x:c>
      <x:c r="G48" s="11" t="str">
        <x:v>Tidak muncul sebagai pending</x:v>
      </x:c>
      <x:c r="H48" s="12"/>
      <x:c r="I48" s="12" t="str">
        <x:v>Not Run</x:v>
      </x:c>
      <x:c r="J48" s="12"/>
      <x:c r="K48" s="12"/>
      <x:c r="L48" s="12"/>
      <x:c r="M48" s="13"/>
      <x:c r="N48" s="11" t="str">
        <x:v>Bisnis</x:v>
      </x:c>
      <x:c r="O48" s="12"/>
    </x:row>
    <x:row r="49" ht="112" customHeight="1">
      <x:c r="A49" s="7" t="str">
        <x:v>FLOW-01</x:v>
      </x:c>
      <x:c r="B49" s="7" t="str">
        <x:v>Workflow</x:v>
      </x:c>
      <x:c r="C49" s="7" t="str">
        <x:v>P0</x:v>
      </x:c>
      <x:c r="D49" s="7" t="str">
        <x:v>Transfer/CN normal</x:v>
      </x:c>
      <x:c r="E49" s="7" t="str">
        <x:v>Data dan izin lengkap</x:v>
      </x:c>
      <x:c r="F49" s="7" t="str">
        <x:v>1. Submit
2. approve
3. release
4. claim
5. clearing</x:v>
      </x:c>
      <x:c r="G49" s="7" t="str">
        <x:v>Not Yet -&gt; Submitted -&gt; Approved -&gt; Released -&gt; Claimed -&gt; Done</x:v>
      </x:c>
      <x:c r="H49" s="12"/>
      <x:c r="I49" s="12" t="str">
        <x:v>Not Run</x:v>
      </x:c>
      <x:c r="J49" s="12"/>
      <x:c r="K49" s="12"/>
      <x:c r="L49" s="12"/>
      <x:c r="M49" s="13"/>
      <x:c r="N49" s="7" t="str">
        <x:v>Bisnis</x:v>
      </x:c>
      <x:c r="O49" s="12"/>
    </x:row>
    <x:row r="50" ht="84" customHeight="1">
      <x:c r="A50" s="11" t="str">
        <x:v>FLOW-02</x:v>
      </x:c>
      <x:c r="B50" s="11" t="str">
        <x:v>Workflow</x:v>
      </x:c>
      <x:c r="C50" s="11" t="str">
        <x:v>P0</x:v>
      </x:c>
      <x:c r="D50" s="11" t="str">
        <x:v>Rebate</x:v>
      </x:c>
      <x:c r="E50" s="11" t="str">
        <x:v>Data dan izin lengkap</x:v>
      </x:c>
      <x:c r="F50" s="11" t="str">
        <x:v>1. Submit
2. approve
3. bulk process</x:v>
      </x:c>
      <x:c r="G50" s="11" t="str">
        <x:v>Not Yet -&gt; Submitted -&gt; Approved -&gt; Bulk Process -&gt; Done</x:v>
      </x:c>
      <x:c r="H50" s="12"/>
      <x:c r="I50" s="12" t="str">
        <x:v>Not Run</x:v>
      </x:c>
      <x:c r="J50" s="12"/>
      <x:c r="K50" s="12"/>
      <x:c r="L50" s="12"/>
      <x:c r="M50" s="13"/>
      <x:c r="N50" s="11" t="str">
        <x:v>Bisnis</x:v>
      </x:c>
      <x:c r="O50" s="12"/>
    </x:row>
    <x:row r="51" ht="84" customHeight="1">
      <x:c r="A51" s="7" t="str">
        <x:v>FLOW-03</x:v>
      </x:c>
      <x:c r="B51" s="7" t="str">
        <x:v>Workflow</x:v>
      </x:c>
      <x:c r="C51" s="7" t="str">
        <x:v>P0</x:v>
      </x:c>
      <x:c r="D51" s="7" t="str">
        <x:v>Expired Claim Process</x:v>
      </x:c>
      <x:c r="E51" s="7" t="str">
        <x:v>Claim Released/Claimed valid</x:v>
      </x:c>
      <x:c r="F51" s="7" t="str">
        <x:v>1. Post Expired</x:v>
      </x:c>
      <x:c r="G51" s="7" t="str">
        <x:v>Langsung Expired tanpa approval tambahan</x:v>
      </x:c>
      <x:c r="H51" s="12"/>
      <x:c r="I51" s="12" t="str">
        <x:v>Not Run</x:v>
      </x:c>
      <x:c r="J51" s="12"/>
      <x:c r="K51" s="12"/>
      <x:c r="L51" s="12"/>
      <x:c r="M51" s="13"/>
      <x:c r="N51" s="7" t="str">
        <x:v>Bisnis</x:v>
      </x:c>
      <x:c r="O51" s="12"/>
    </x:row>
    <x:row r="52" ht="84" customHeight="1">
      <x:c r="A52" s="11" t="str">
        <x:v>FLOW-04</x:v>
      </x:c>
      <x:c r="B52" s="11" t="str">
        <x:v>Workflow</x:v>
      </x:c>
      <x:c r="C52" s="11" t="str">
        <x:v>P0</x:v>
      </x:c>
      <x:c r="D52" s="11" t="str">
        <x:v>Release sebelum approval</x:v>
      </x:c>
      <x:c r="E52" s="11" t="str">
        <x:v>Claim Submitted</x:v>
      </x:c>
      <x:c r="F52" s="11" t="str">
        <x:v>1. Coba release</x:v>
      </x:c>
      <x:c r="G52" s="11" t="str">
        <x:v>Ditolak</x:v>
      </x:c>
      <x:c r="H52" s="12"/>
      <x:c r="I52" s="12" t="str">
        <x:v>Not Run</x:v>
      </x:c>
      <x:c r="J52" s="12"/>
      <x:c r="K52" s="12"/>
      <x:c r="L52" s="12"/>
      <x:c r="M52" s="13"/>
      <x:c r="N52" s="11" t="str">
        <x:v>Bisnis</x:v>
      </x:c>
      <x:c r="O52" s="12"/>
    </x:row>
    <x:row r="53" ht="84" customHeight="1">
      <x:c r="A53" s="7" t="str">
        <x:v>FLOW-05</x:v>
      </x:c>
      <x:c r="B53" s="7" t="str">
        <x:v>Workflow</x:v>
      </x:c>
      <x:c r="C53" s="7" t="str">
        <x:v>P0</x:v>
      </x:c>
      <x:c r="D53" s="7" t="str">
        <x:v>Claim sebelum Released</x:v>
      </x:c>
      <x:c r="E53" s="7" t="str">
        <x:v>Claim Approved</x:v>
      </x:c>
      <x:c r="F53" s="7" t="str">
        <x:v>1. Coba claim</x:v>
      </x:c>
      <x:c r="G53" s="7" t="str">
        <x:v>Ditolak</x:v>
      </x:c>
      <x:c r="H53" s="12"/>
      <x:c r="I53" s="12" t="str">
        <x:v>Not Run</x:v>
      </x:c>
      <x:c r="J53" s="12"/>
      <x:c r="K53" s="12"/>
      <x:c r="L53" s="12"/>
      <x:c r="M53" s="13"/>
      <x:c r="N53" s="7" t="str">
        <x:v>Bisnis</x:v>
      </x:c>
      <x:c r="O53" s="12"/>
    </x:row>
    <x:row r="54" ht="84" customHeight="1">
      <x:c r="A54" s="11" t="str">
        <x:v>FLOW-06</x:v>
      </x:c>
      <x:c r="B54" s="11" t="str">
        <x:v>Workflow</x:v>
      </x:c>
      <x:c r="C54" s="11" t="str">
        <x:v>P0</x:v>
      </x:c>
      <x:c r="D54" s="11" t="str">
        <x:v>Clearing sebelum Claimed</x:v>
      </x:c>
      <x:c r="E54" s="11" t="str">
        <x:v>Claim Released</x:v>
      </x:c>
      <x:c r="F54" s="11" t="str">
        <x:v>1. Coba clearing</x:v>
      </x:c>
      <x:c r="G54" s="11" t="str">
        <x:v>Ditolak</x:v>
      </x:c>
      <x:c r="H54" s="12"/>
      <x:c r="I54" s="12" t="str">
        <x:v>Not Run</x:v>
      </x:c>
      <x:c r="J54" s="12"/>
      <x:c r="K54" s="12"/>
      <x:c r="L54" s="12"/>
      <x:c r="M54" s="13"/>
      <x:c r="N54" s="11" t="str">
        <x:v>Bisnis</x:v>
      </x:c>
      <x:c r="O54" s="12"/>
    </x:row>
    <x:row r="55" ht="84" customHeight="1">
      <x:c r="A55" s="7" t="str">
        <x:v>FLOW-07</x:v>
      </x:c>
      <x:c r="B55" s="7" t="str">
        <x:v>Workflow</x:v>
      </x:c>
      <x:c r="C55" s="7" t="str">
        <x:v>P0</x:v>
      </x:c>
      <x:c r="D55" s="7" t="str">
        <x:v>Dua user update versi sama</x:v>
      </x:c>
      <x:c r="E55" s="7" t="str">
        <x:v>Dua sesi membuka claim sama</x:v>
      </x:c>
      <x:c r="F55" s="7" t="str">
        <x:v>1. Submit bersamaan</x:v>
      </x:c>
      <x:c r="G55" s="7" t="str">
        <x:v>Satu sukses; lainnya konflik versi</x:v>
      </x:c>
      <x:c r="H55" s="12"/>
      <x:c r="I55" s="12" t="str">
        <x:v>Not Run</x:v>
      </x:c>
      <x:c r="J55" s="12"/>
      <x:c r="K55" s="12"/>
      <x:c r="L55" s="12"/>
      <x:c r="M55" s="13"/>
      <x:c r="N55" s="7" t="str">
        <x:v>Bisnis</x:v>
      </x:c>
      <x:c r="O55" s="12"/>
    </x:row>
    <x:row r="56" ht="84" customHeight="1">
      <x:c r="A56" s="11" t="str">
        <x:v>FLOW-08</x:v>
      </x:c>
      <x:c r="B56" s="11" t="str">
        <x:v>Workflow</x:v>
      </x:c>
      <x:c r="C56" s="11" t="str">
        <x:v>P0</x:v>
      </x:c>
      <x:c r="D56" s="11" t="str">
        <x:v>Rollback batch</x:v>
      </x:c>
      <x:c r="E56" s="11" t="str">
        <x:v>QA menyiapkan batch untuk endpoint workflow atomik dengan satu item tidak valid.</x:v>
      </x:c>
      <x:c r="F56" s="11" t="str">
        <x:v>1. Catat semua status awal
2. QA kirim batch
3. muat ulang semua dokumen dan log.</x:v>
      </x:c>
      <x:c r="G56" s="11" t="str">
        <x:v>Seluruh batch endpoint atomik ditolak tanpa perubahan parsial. Jangan menerapkan ekspektasi ini ke upload UI yang memproses per baris.</x:v>
      </x:c>
      <x:c r="H56" s="12"/>
      <x:c r="I56" s="12" t="str">
        <x:v>Not Run</x:v>
      </x:c>
      <x:c r="J56" s="12"/>
      <x:c r="K56" s="12"/>
      <x:c r="L56" s="12"/>
      <x:c r="M56" s="13"/>
      <x:c r="N56" s="11" t="str">
        <x:v>QA + bisnis</x:v>
      </x:c>
      <x:c r="O56" s="12"/>
    </x:row>
    <x:row r="57" ht="84" customHeight="1">
      <x:c r="A57" s="7" t="str">
        <x:v>FLOW-09</x:v>
      </x:c>
      <x:c r="B57" s="7" t="str">
        <x:v>Workflow</x:v>
      </x:c>
      <x:c r="C57" s="7" t="str">
        <x:v>P1</x:v>
      </x:c>
      <x:c r="D57" s="7" t="str">
        <x:v>Gross-up dan rounding</x:v>
      </x:c>
      <x:c r="E57" s="7" t="str">
        <x:v>Nilai dummy total CB 100,99 dan 1234567,89; contoh perhitungan pajak disetujui pemilik bisnis.</x:v>
      </x:c>
      <x:c r="F57" s="7" t="str">
        <x:v>1. Bandingkan nilai sumber, kartu, Details, Gross Up dan ekspor
2. QA cocokkan nilai tersimpan dengan contoh pajak.</x:v>
      </x:c>
      <x:c r="G57" s="7" t="str">
        <x:v>Tampilan nominal penuh membuang pecahan (100,99 menjadi 100), bukan membulatkan naik. Kartu jt ringkas. Presisi perhitungan tersimpan tidak diubah.</x:v>
      </x:c>
      <x:c r="H57" s="12"/>
      <x:c r="I57" s="12" t="str">
        <x:v>Not Run</x:v>
      </x:c>
      <x:c r="J57" s="12"/>
      <x:c r="K57" s="12"/>
      <x:c r="L57" s="12"/>
      <x:c r="M57" s="13"/>
      <x:c r="N57" s="7" t="str">
        <x:v>Bisnis</x:v>
      </x:c>
      <x:c r="O57" s="12"/>
    </x:row>
    <x:row r="58" ht="84" customHeight="1">
      <x:c r="A58" s="11" t="str">
        <x:v>MASTER-01</x:v>
      </x:c>
      <x:c r="B58" s="11" t="str">
        <x:v>Master</x:v>
      </x:c>
      <x:c r="C58" s="11" t="str">
        <x:v>P1</x:v>
      </x:c>
      <x:c r="D58" s="11" t="str">
        <x:v>Customer lintas depot</x:v>
      </x:c>
      <x:c r="E58" s="11" t="str">
        <x:v>Customer di depot lain</x:v>
      </x:c>
      <x:c r="F58" s="11" t="str">
        <x:v>1. Cari customer</x:v>
      </x:c>
      <x:c r="G58" s="11" t="str">
        <x:v>Tidak terlihat</x:v>
      </x:c>
      <x:c r="H58" s="12"/>
      <x:c r="I58" s="12" t="str">
        <x:v>Not Run</x:v>
      </x:c>
      <x:c r="J58" s="12"/>
      <x:c r="K58" s="12"/>
      <x:c r="L58" s="12"/>
      <x:c r="M58" s="13"/>
      <x:c r="N58" s="11" t="str">
        <x:v>Bisnis</x:v>
      </x:c>
      <x:c r="O58" s="12"/>
    </x:row>
    <x:row r="59" ht="84" customHeight="1">
      <x:c r="A59" s="7" t="str">
        <x:v>MASTER-02</x:v>
      </x:c>
      <x:c r="B59" s="7" t="str">
        <x:v>Master</x:v>
      </x:c>
      <x:c r="C59" s="7" t="str">
        <x:v>P1</x:v>
      </x:c>
      <x:c r="D59" s="7" t="str">
        <x:v>Campaign periode/status</x:v>
      </x:c>
      <x:c r="E59" s="7" t="str">
        <x:v>Campaign aktif, archived, beda periode</x:v>
      </x:c>
      <x:c r="F59" s="7" t="str">
        <x:v>1. Buka claim/report</x:v>
      </x:c>
      <x:c r="G59" s="7" t="str">
        <x:v>Resolver hanya memakai campaign yang sesuai</x:v>
      </x:c>
      <x:c r="H59" s="12"/>
      <x:c r="I59" s="12" t="str">
        <x:v>Not Run</x:v>
      </x:c>
      <x:c r="J59" s="12"/>
      <x:c r="K59" s="12"/>
      <x:c r="L59" s="12"/>
      <x:c r="M59" s="13"/>
      <x:c r="N59" s="7" t="str">
        <x:v>Bisnis</x:v>
      </x:c>
      <x:c r="O59" s="12"/>
    </x:row>
    <x:row r="60" ht="84" customHeight="1">
      <x:c r="A60" s="11" t="str">
        <x:v>MASTER-03</x:v>
      </x:c>
      <x:c r="B60" s="11" t="str">
        <x:v>Master</x:v>
      </x:c>
      <x:c r="C60" s="11" t="str">
        <x:v>P1</x:v>
      </x:c>
      <x:c r="D60" s="11" t="str">
        <x:v>Depot Master</x:v>
      </x:c>
      <x:c r="E60" s="11" t="str">
        <x:v>User berwenang</x:v>
      </x:c>
      <x:c r="F60" s="11" t="str">
        <x:v>1. Buka Key Master Depot</x:v>
      </x:c>
      <x:c r="G60" s="11" t="str">
        <x:v>Code, nama, region, alamat, link konsisten</x:v>
      </x:c>
      <x:c r="H60" s="12"/>
      <x:c r="I60" s="12" t="str">
        <x:v>Not Run</x:v>
      </x:c>
      <x:c r="J60" s="12"/>
      <x:c r="K60" s="12"/>
      <x:c r="L60" s="12"/>
      <x:c r="M60" s="13"/>
      <x:c r="N60" s="11" t="str">
        <x:v>Bisnis</x:v>
      </x:c>
      <x:c r="O60" s="12"/>
    </x:row>
    <x:row r="61" ht="84" customHeight="1">
      <x:c r="A61" s="7" t="str">
        <x:v>MASTER-04</x:v>
      </x:c>
      <x:c r="B61" s="7" t="str">
        <x:v>Master</x:v>
      </x:c>
      <x:c r="C61" s="7" t="str">
        <x:v>P1</x:v>
      </x:c>
      <x:c r="D61" s="7" t="str">
        <x:v>Profil depot request</x:v>
      </x:c>
      <x:c r="E61" s="7" t="str">
        <x:v>User berwenang</x:v>
      </x:c>
      <x:c r="F61" s="7" t="str">
        <x:v>1. Ajukan perubahan alamat/email/grade</x:v>
      </x:c>
      <x:c r="G61" s="7" t="str">
        <x:v>Masuk approval; nilai efektif berubah setelah reviewer lain approve</x:v>
      </x:c>
      <x:c r="H61" s="12"/>
      <x:c r="I61" s="12" t="str">
        <x:v>Not Run</x:v>
      </x:c>
      <x:c r="J61" s="12"/>
      <x:c r="K61" s="12"/>
      <x:c r="L61" s="12"/>
      <x:c r="M61" s="13"/>
      <x:c r="N61" s="7" t="str">
        <x:v>Bisnis</x:v>
      </x:c>
      <x:c r="O61" s="12"/>
    </x:row>
    <x:row r="62" ht="84" customHeight="1">
      <x:c r="A62" s="11" t="str">
        <x:v>MASTER-05</x:v>
      </x:c>
      <x:c r="B62" s="11" t="str">
        <x:v>Master</x:v>
      </x:c>
      <x:c r="C62" s="11" t="str">
        <x:v>P1</x:v>
      </x:c>
      <x:c r="D62" s="11" t="str">
        <x:v>Approve request sendiri</x:v>
      </x:c>
      <x:c r="E62" s="11" t="str">
        <x:v>Request dibuat user yang sama</x:v>
      </x:c>
      <x:c r="F62" s="11" t="str">
        <x:v>1. Coba approve</x:v>
      </x:c>
      <x:c r="G62" s="11" t="str">
        <x:v>Ditolak</x:v>
      </x:c>
      <x:c r="H62" s="12"/>
      <x:c r="I62" s="12" t="str">
        <x:v>Not Run</x:v>
      </x:c>
      <x:c r="J62" s="12"/>
      <x:c r="K62" s="12"/>
      <x:c r="L62" s="12"/>
      <x:c r="M62" s="13"/>
      <x:c r="N62" s="11" t="str">
        <x:v>Bisnis</x:v>
      </x:c>
      <x:c r="O62" s="12"/>
    </x:row>
    <x:row r="63" ht="84" customHeight="1">
      <x:c r="A63" s="7" t="str">
        <x:v>REPORT-01</x:v>
      </x:c>
      <x:c r="B63" s="7" t="str">
        <x:v>Report</x:v>
      </x:c>
      <x:c r="C63" s="7" t="str">
        <x:v>P0</x:v>
      </x:c>
      <x:c r="D63" s="7" t="str">
        <x:v>Filter server-side</x:v>
      </x:c>
      <x:c r="E63" s="7" t="str">
        <x:v>User memiliki beberapa depot</x:v>
      </x:c>
      <x:c r="F63" s="7" t="str">
        <x:v>1. Filter depot/region/campaign</x:v>
      </x:c>
      <x:c r="G63" s="7" t="str">
        <x:v>Hasil hanya sesuai filter dan scope</x:v>
      </x:c>
      <x:c r="H63" s="12"/>
      <x:c r="I63" s="12" t="str">
        <x:v>Not Run</x:v>
      </x:c>
      <x:c r="J63" s="12"/>
      <x:c r="K63" s="12"/>
      <x:c r="L63" s="12"/>
      <x:c r="M63" s="13"/>
      <x:c r="N63" s="7" t="str">
        <x:v>QA + bisnis</x:v>
      </x:c>
      <x:c r="O63" s="12"/>
    </x:row>
    <x:row r="64" ht="84" customHeight="1">
      <x:c r="A64" s="11" t="str">
        <x:v>REPORT-02</x:v>
      </x:c>
      <x:c r="B64" s="11" t="str">
        <x:v>Report</x:v>
      </x:c>
      <x:c r="C64" s="11" t="str">
        <x:v>P1</x:v>
      </x:c>
      <x:c r="D64" s="11" t="str">
        <x:v>Status grouping</x:v>
      </x:c>
      <x:c r="E64" s="11" t="str">
        <x:v>Data semua tahap tersedia termasuk On Hold dan Expired.</x:v>
      </x:c>
      <x:c r="F64" s="11" t="str">
        <x:v>1. Buka Report by stage
2. bandingkan pengelompokan dengan Analytics pada dokumen yang sama.</x:v>
      </x:c>
      <x:c r="G64" s="11" t="str">
        <x:v>Pending Depot: Not Yet/Submitted; Pending OSC: Approved/Released; Pending Finance: Claimed. On Hold/Expired mengikuti definisi laporan. Analytics tetap status asli.</x:v>
      </x:c>
      <x:c r="H64" s="12"/>
      <x:c r="I64" s="12" t="str">
        <x:v>Not Run</x:v>
      </x:c>
      <x:c r="J64" s="12"/>
      <x:c r="K64" s="12"/>
      <x:c r="L64" s="12"/>
      <x:c r="M64" s="13"/>
      <x:c r="N64" s="11" t="str">
        <x:v>Bisnis</x:v>
      </x:c>
      <x:c r="O64" s="12"/>
    </x:row>
    <x:row r="65" ht="84" customHeight="1">
      <x:c r="A65" s="7" t="str">
        <x:v>REPORT-03</x:v>
      </x:c>
      <x:c r="B65" s="7" t="str">
        <x:v>Report</x:v>
      </x:c>
      <x:c r="C65" s="7" t="str">
        <x:v>P1</x:v>
      </x:c>
      <x:c r="D65" s="7" t="str">
        <x:v>Nominal kartu dan detail</x:v>
      </x:c>
      <x:c r="E65" s="7" t="str">
        <x:v>Data nominal tersedia</x:v>
      </x:c>
      <x:c r="F65" s="7" t="str">
        <x:v>1. Bandingkan kartu, detail, ekspor</x:v>
      </x:c>
      <x:c r="G65" s="7" t="str">
        <x:v>Kartu memakai jt; detail/ekspor rupiah penuh tanpa pecahan</x:v>
      </x:c>
      <x:c r="H65" s="12"/>
      <x:c r="I65" s="12" t="str">
        <x:v>Not Run</x:v>
      </x:c>
      <x:c r="J65" s="12"/>
      <x:c r="K65" s="12"/>
      <x:c r="L65" s="12"/>
      <x:c r="M65" s="13"/>
      <x:c r="N65" s="7" t="str">
        <x:v>Bisnis</x:v>
      </x:c>
      <x:c r="O65" s="12"/>
    </x:row>
    <x:row r="66" ht="84" customHeight="1">
      <x:c r="A66" s="11" t="str">
        <x:v>REPORT-04</x:v>
      </x:c>
      <x:c r="B66" s="11" t="str">
        <x:v>Report</x:v>
      </x:c>
      <x:c r="C66" s="11" t="str">
        <x:v>P1</x:v>
      </x:c>
      <x:c r="D66" s="11" t="str">
        <x:v>Tanggal/timezone</x:v>
      </x:c>
      <x:c r="E66" s="11" t="str">
        <x:v>Data boundary UTC/Jakarta</x:v>
      </x:c>
      <x:c r="F66" s="11" t="str">
        <x:v>1. Buka report dan detail</x:v>
      </x:c>
      <x:c r="G66" s="11" t="str">
        <x:v>Tampilan Asia/Jakarta; tanggal dd-Mmm-yyyy; timestamp lengkap</x:v>
      </x:c>
      <x:c r="H66" s="12"/>
      <x:c r="I66" s="12" t="str">
        <x:v>Not Run</x:v>
      </x:c>
      <x:c r="J66" s="12"/>
      <x:c r="K66" s="12"/>
      <x:c r="L66" s="12"/>
      <x:c r="M66" s="13"/>
      <x:c r="N66" s="11" t="str">
        <x:v>Bisnis</x:v>
      </x:c>
      <x:c r="O66" s="12"/>
    </x:row>
    <x:row r="67" ht="84" customHeight="1">
      <x:c r="A67" s="7" t="str">
        <x:v>REPORT-05</x:v>
      </x:c>
      <x:c r="B67" s="7" t="str">
        <x:v>Report</x:v>
      </x:c>
      <x:c r="C67" s="7" t="str">
        <x:v>P0</x:v>
      </x:c>
      <x:c r="D67" s="7" t="str">
        <x:v>CSV export</x:v>
      </x:c>
      <x:c r="E67" s="7" t="str">
        <x:v>Report terfilter</x:v>
      </x:c>
      <x:c r="F67" s="7" t="str">
        <x:v>1. Ekspor CSV</x:v>
      </x:c>
      <x:c r="G67" s="7" t="str">
        <x:v>Header/filter/timezone konsisten; formula dinetralkan</x:v>
      </x:c>
      <x:c r="H67" s="12"/>
      <x:c r="I67" s="12" t="str">
        <x:v>Not Run</x:v>
      </x:c>
      <x:c r="J67" s="12"/>
      <x:c r="K67" s="12"/>
      <x:c r="L67" s="12"/>
      <x:c r="M67" s="13"/>
      <x:c r="N67" s="7" t="str">
        <x:v>Bisnis</x:v>
      </x:c>
      <x:c r="O67" s="12"/>
    </x:row>
    <x:row r="68" ht="84" customHeight="1">
      <x:c r="A68" s="11" t="str">
        <x:v>REPORT-06</x:v>
      </x:c>
      <x:c r="B68" s="11" t="str">
        <x:v>Report</x:v>
      </x:c>
      <x:c r="C68" s="11" t="str">
        <x:v>P0</x:v>
      </x:c>
      <x:c r="D68" s="11" t="str">
        <x:v>Dashboard publik</x:v>
      </x:c>
      <x:c r="E68" s="11" t="str">
        <x:v>Akses URL publik</x:v>
      </x:c>
      <x:c r="F68" s="11" t="str">
        <x:v>1. Buka dashboard dan periksa response</x:v>
      </x:c>
      <x:c r="G68" s="11" t="str">
        <x:v>Hanya agregat; tidak ada data sensitif/detail akun</x:v>
      </x:c>
      <x:c r="H68" s="12"/>
      <x:c r="I68" s="12" t="str">
        <x:v>Not Run</x:v>
      </x:c>
      <x:c r="J68" s="12"/>
      <x:c r="K68" s="12"/>
      <x:c r="L68" s="12"/>
      <x:c r="M68" s="13"/>
      <x:c r="N68" s="11" t="str">
        <x:v>Bisnis</x:v>
      </x:c>
      <x:c r="O68" s="12"/>
    </x:row>
    <x:row r="69" ht="84" customHeight="1">
      <x:c r="A69" s="7" t="str">
        <x:v>OPS-01</x:v>
      </x:c>
      <x:c r="B69" s="7" t="str">
        <x:v>Timetable</x:v>
      </x:c>
      <x:c r="C69" s="7" t="str">
        <x:v>P1</x:v>
      </x:c>
      <x:c r="D69" s="7" t="str">
        <x:v>Timetable sesuai scope</x:v>
      </x:c>
      <x:c r="E69" s="7" t="str">
        <x:v>User memiliki depot terbatas</x:v>
      </x:c>
      <x:c r="F69" s="7" t="str">
        <x:v>1. Buka dan filter timetable</x:v>
      </x:c>
      <x:c r="G69" s="7" t="str">
        <x:v>Hanya depot/region berwenang</x:v>
      </x:c>
      <x:c r="H69" s="12"/>
      <x:c r="I69" s="12" t="str">
        <x:v>Not Run</x:v>
      </x:c>
      <x:c r="J69" s="12"/>
      <x:c r="K69" s="12"/>
      <x:c r="L69" s="12"/>
      <x:c r="M69" s="13"/>
      <x:c r="N69" s="7" t="str">
        <x:v>Bisnis</x:v>
      </x:c>
      <x:c r="O69" s="12"/>
    </x:row>
    <x:row r="70" ht="84" customHeight="1">
      <x:c r="A70" s="11" t="str">
        <x:v>OPS-02</x:v>
      </x:c>
      <x:c r="B70" s="11" t="str">
        <x:v>Timetable</x:v>
      </x:c>
      <x:c r="C70" s="11" t="str">
        <x:v>P1</x:v>
      </x:c>
      <x:c r="D70" s="11" t="str">
        <x:v>Klasifikasi timetable</x:v>
      </x:c>
      <x:c r="E70" s="11" t="str">
        <x:v>Empat pasangan depot–campaign mewakili setiap klasifikasi.</x:v>
      </x:c>
      <x:c r="F70" s="11" t="str">
        <x:v>1. Buka Timetable Detail
2. periksa tiap pasangan dan diagram
3. bandingkan jumlah Completed, Not Achieved serta Cleared.</x:v>
      </x:c>
      <x:c r="G70" s="11" t="str">
        <x:v>Empat status dibedakan. Cleared dapat mencakup Completed dan Not Achieved; jumlah pasangan tidak disamakan dengan jumlah dokumen.</x:v>
      </x:c>
      <x:c r="H70" s="12"/>
      <x:c r="I70" s="12" t="str">
        <x:v>Not Run</x:v>
      </x:c>
      <x:c r="J70" s="12"/>
      <x:c r="K70" s="12"/>
      <x:c r="L70" s="12"/>
      <x:c r="M70" s="13"/>
      <x:c r="N70" s="11" t="str">
        <x:v>Bisnis</x:v>
      </x:c>
      <x:c r="O70" s="12"/>
    </x:row>
    <x:row r="71" ht="84" customHeight="1">
      <x:c r="A71" s="7" t="str">
        <x:v>OPS-03</x:v>
      </x:c>
      <x:c r="B71" s="7" t="str">
        <x:v>Timetable</x:v>
      </x:c>
      <x:c r="C71" s="7" t="str">
        <x:v>P0</x:v>
      </x:c>
      <x:c r="D71" s="7" t="str">
        <x:v>Unknown historis</x:v>
      </x:c>
      <x:c r="E71" s="7" t="str">
        <x:v>Riwayat klaim lama tidak tersedia pada rentang yang dipilih.</x:v>
      </x:c>
      <x:c r="F71" s="7" t="str">
        <x:v>1. Buka People Performance &gt; History
2. pilih tanggal sebelum riwayat tersedia
3. baca tabel dan diagram.</x:v>
      </x:c>
      <x:c r="G71" s="7" t="str">
        <x:v>Riwayat tanpa status tercatat tampil Unknown; tidak diasumsikan Not Yet.</x:v>
      </x:c>
      <x:c r="H71" s="12"/>
      <x:c r="I71" s="12" t="str">
        <x:v>Not Run</x:v>
      </x:c>
      <x:c r="J71" s="12"/>
      <x:c r="K71" s="12"/>
      <x:c r="L71" s="12"/>
      <x:c r="M71" s="13"/>
      <x:c r="N71" s="7" t="str">
        <x:v>Bisnis</x:v>
      </x:c>
      <x:c r="O71" s="12"/>
    </x:row>
    <x:row r="72" ht="84" customHeight="1">
      <x:c r="A72" s="11" t="str">
        <x:v>OPS-04</x:v>
      </x:c>
      <x:c r="B72" s="11" t="str">
        <x:v>Log</x:v>
      </x:c>
      <x:c r="C72" s="11" t="str">
        <x:v>P1</x:v>
      </x:c>
      <x:c r="D72" s="11" t="str">
        <x:v>Log Activity</x:v>
      </x:c>
      <x:c r="E72" s="11" t="str">
        <x:v>Transaksi sudah dilakukan</x:v>
      </x:c>
      <x:c r="F72" s="11" t="str">
        <x:v>1. Buka log</x:v>
      </x:c>
      <x:c r="G72" s="11" t="str">
        <x:v>Aktor, entitas, modul, stage, batch, waktu tersedia</x:v>
      </x:c>
      <x:c r="H72" s="12"/>
      <x:c r="I72" s="12" t="str">
        <x:v>Not Run</x:v>
      </x:c>
      <x:c r="J72" s="12"/>
      <x:c r="K72" s="12"/>
      <x:c r="L72" s="12"/>
      <x:c r="M72" s="13"/>
      <x:c r="N72" s="11" t="str">
        <x:v>Bisnis</x:v>
      </x:c>
      <x:c r="O72" s="12"/>
    </x:row>
    <x:row r="73" ht="84" customHeight="1">
      <x:c r="A73" s="7" t="str">
        <x:v>OPS-05</x:v>
      </x:c>
      <x:c r="B73" s="7" t="str">
        <x:v>Log</x:v>
      </x:c>
      <x:c r="C73" s="7" t="str">
        <x:v>P0</x:v>
      </x:c>
      <x:c r="D73" s="7" t="str">
        <x:v>Filter log authorization</x:v>
      </x:c>
      <x:c r="E73" s="7" t="str">
        <x:v>User area kewenangan terbatas</x:v>
      </x:c>
      <x:c r="F73" s="7" t="str">
        <x:v>1. Manipulasi filter</x:v>
      </x:c>
      <x:c r="G73" s="7" t="str">
        <x:v>Tidak memperluas otorisasi</x:v>
      </x:c>
      <x:c r="H73" s="12"/>
      <x:c r="I73" s="12" t="str">
        <x:v>Not Run</x:v>
      </x:c>
      <x:c r="J73" s="12"/>
      <x:c r="K73" s="12"/>
      <x:c r="L73" s="12"/>
      <x:c r="M73" s="13"/>
      <x:c r="N73" s="7" t="str">
        <x:v>Bisnis</x:v>
      </x:c>
      <x:c r="O73" s="12"/>
    </x:row>
    <x:row r="74" ht="84" customHeight="1">
      <x:c r="A74" s="11" t="str">
        <x:v>PEOPLE-01</x:v>
      </x:c>
      <x:c r="B74" s="11" t="str">
        <x:v>People</x:v>
      </x:c>
      <x:c r="C74" s="11" t="str">
        <x:v>P0</x:v>
      </x:c>
      <x:c r="D74" s="11" t="str">
        <x:v>Tab OSC</x:v>
      </x:c>
      <x:c r="E74" s="11" t="str">
        <x:v>User punya izin dan data OSC</x:v>
      </x:c>
      <x:c r="F74" s="11" t="str">
        <x:v>1. Buka People Performance &gt; OSC</x:v>
      </x:c>
      <x:c r="G74" s="11" t="str">
        <x:v>Supervisor terkait dan depot yang ditangani tampil</x:v>
      </x:c>
      <x:c r="H74" s="12"/>
      <x:c r="I74" s="12" t="str">
        <x:v>Not Run</x:v>
      </x:c>
      <x:c r="J74" s="12"/>
      <x:c r="K74" s="12"/>
      <x:c r="L74" s="12"/>
      <x:c r="M74" s="13"/>
      <x:c r="N74" s="11" t="str">
        <x:v>Bisnis</x:v>
      </x:c>
      <x:c r="O74" s="12"/>
    </x:row>
    <x:row r="75" ht="84" customHeight="1">
      <x:c r="A75" s="7" t="str">
        <x:v>PEOPLE-02</x:v>
      </x:c>
      <x:c r="B75" s="7" t="str">
        <x:v>People</x:v>
      </x:c>
      <x:c r="C75" s="7" t="str">
        <x:v>P0</x:v>
      </x:c>
      <x:c r="D75" s="7" t="str">
        <x:v>Tab Supervisor</x:v>
      </x:c>
      <x:c r="E75" s="7" t="str">
        <x:v>Supervisor punya OSC binaan</x:v>
      </x:c>
      <x:c r="F75" s="7" t="str">
        <x:v>1. Buka tab Supervisor</x:v>
      </x:c>
      <x:c r="G75" s="7" t="str">
        <x:v>OSC aktif dan jumlah depot tampil</x:v>
      </x:c>
      <x:c r="H75" s="12"/>
      <x:c r="I75" s="12" t="str">
        <x:v>Not Run</x:v>
      </x:c>
      <x:c r="J75" s="12"/>
      <x:c r="K75" s="12"/>
      <x:c r="L75" s="12"/>
      <x:c r="M75" s="13"/>
      <x:c r="N75" s="7" t="str">
        <x:v>Bisnis</x:v>
      </x:c>
      <x:c r="O75" s="12"/>
    </x:row>
    <x:row r="76" ht="84" customHeight="1">
      <x:c r="A76" s="11" t="str">
        <x:v>PEOPLE-03</x:v>
      </x:c>
      <x:c r="B76" s="11" t="str">
        <x:v>People</x:v>
      </x:c>
      <x:c r="C76" s="11" t="str">
        <x:v>P0</x:v>
      </x:c>
      <x:c r="D76" s="11" t="str">
        <x:v>Irisan yurisdiksi</x:v>
      </x:c>
      <x:c r="E76" s="11" t="str">
        <x:v>User punya relasi lintas area kewenangan</x:v>
      </x:c>
      <x:c r="F76" s="11" t="str">
        <x:v>1. Buka detail</x:v>
      </x:c>
      <x:c r="G76" s="11" t="str">
        <x:v>Hanya irisan assignment dan yurisdiksi pembaca</x:v>
      </x:c>
      <x:c r="H76" s="12"/>
      <x:c r="I76" s="12" t="str">
        <x:v>Not Run</x:v>
      </x:c>
      <x:c r="J76" s="12"/>
      <x:c r="K76" s="12"/>
      <x:c r="L76" s="12"/>
      <x:c r="M76" s="13"/>
      <x:c r="N76" s="11" t="str">
        <x:v>Bisnis</x:v>
      </x:c>
      <x:c r="O76" s="12"/>
    </x:row>
    <x:row r="77" ht="84" customHeight="1">
      <x:c r="A77" s="7" t="str">
        <x:v>PEOPLE-04</x:v>
      </x:c>
      <x:c r="B77" s="7" t="str">
        <x:v>People</x:v>
      </x:c>
      <x:c r="C77" s="7" t="str">
        <x:v>P0</x:v>
      </x:c>
      <x:c r="D77" s="7" t="str">
        <x:v>Depot unik</x:v>
      </x:c>
      <x:c r="E77" s="7" t="str">
        <x:v>Satu depot muncul melalui beberapa relasi</x:v>
      </x:c>
      <x:c r="F77" s="7" t="str">
        <x:v>1. Buka summary</x:v>
      </x:c>
      <x:c r="G77" s="7" t="str">
        <x:v>Depot dihitung sekali</x:v>
      </x:c>
      <x:c r="H77" s="12"/>
      <x:c r="I77" s="12" t="str">
        <x:v>Not Run</x:v>
      </x:c>
      <x:c r="J77" s="12"/>
      <x:c r="K77" s="12"/>
      <x:c r="L77" s="12"/>
      <x:c r="M77" s="13"/>
      <x:c r="N77" s="7" t="str">
        <x:v>Bisnis</x:v>
      </x:c>
      <x:c r="O77" s="12"/>
    </x:row>
    <x:row r="78" ht="84" customHeight="1">
      <x:c r="A78" s="11" t="str">
        <x:v>PEOPLE-05</x:v>
      </x:c>
      <x:c r="B78" s="11" t="str">
        <x:v>People</x:v>
      </x:c>
      <x:c r="C78" s="11" t="str">
        <x:v>P1</x:v>
      </x:c>
      <x:c r="D78" s="11" t="str">
        <x:v>Claim metrics</x:v>
      </x:c>
      <x:c r="E78" s="11" t="str">
        <x:v>Fixture berbagai status</x:v>
      </x:c>
      <x:c r="F78" s="11" t="str">
        <x:v>1. Buka Details</x:v>
      </x:c>
      <x:c r="G78" s="11" t="str">
        <x:v>Total, stage, persentase, status asli sesuai scope</x:v>
      </x:c>
      <x:c r="H78" s="12"/>
      <x:c r="I78" s="12" t="str">
        <x:v>Not Run</x:v>
      </x:c>
      <x:c r="J78" s="12"/>
      <x:c r="K78" s="12"/>
      <x:c r="L78" s="12"/>
      <x:c r="M78" s="13"/>
      <x:c r="N78" s="11" t="str">
        <x:v>Bisnis</x:v>
      </x:c>
      <x:c r="O78" s="12"/>
    </x:row>
    <x:row r="79" ht="84" customHeight="1">
      <x:c r="A79" s="7" t="str">
        <x:v>PEOPLE-06</x:v>
      </x:c>
      <x:c r="B79" s="7" t="str">
        <x:v>People</x:v>
      </x:c>
      <x:c r="C79" s="7" t="str">
        <x:v>P1</x:v>
      </x:c>
      <x:c r="D79" s="7" t="str">
        <x:v>Timetable metrics</x:v>
      </x:c>
      <x:c r="E79" s="7" t="str">
        <x:v>Fixture tiap klasifikasi</x:v>
      </x:c>
      <x:c r="F79" s="7" t="str">
        <x:v>1. Buka Details</x:v>
      </x:c>
      <x:c r="G79" s="7" t="str">
        <x:v>Not Yet, Compiled, Completed, Not Achieved, Unknown benar</x:v>
      </x:c>
      <x:c r="H79" s="12"/>
      <x:c r="I79" s="12" t="str">
        <x:v>Not Run</x:v>
      </x:c>
      <x:c r="J79" s="12"/>
      <x:c r="K79" s="12"/>
      <x:c r="L79" s="12"/>
      <x:c r="M79" s="13"/>
      <x:c r="N79" s="7" t="str">
        <x:v>Bisnis</x:v>
      </x:c>
      <x:c r="O79" s="12"/>
    </x:row>
    <x:row r="80" ht="84" customHeight="1">
      <x:c r="A80" s="11" t="str">
        <x:v>PEOPLE-07</x:v>
      </x:c>
      <x:c r="B80" s="11" t="str">
        <x:v>People</x:v>
      </x:c>
      <x:c r="C80" s="11" t="str">
        <x:v>P0</x:v>
      </x:c>
      <x:c r="D80" s="11" t="str">
        <x:v>History harian</x:v>
      </x:c>
      <x:c r="E80" s="11" t="str">
        <x:v>Claim history tersedia</x:v>
      </x:c>
      <x:c r="F80" s="11" t="str">
        <x:v>1. Pilih grain day dan tanggal</x:v>
      </x:c>
      <x:c r="G80" s="11" t="str">
        <x:v>Rows dan processed sesuai akhir hari bisnis</x:v>
      </x:c>
      <x:c r="H80" s="12"/>
      <x:c r="I80" s="12" t="str">
        <x:v>Not Run</x:v>
      </x:c>
      <x:c r="J80" s="12"/>
      <x:c r="K80" s="12"/>
      <x:c r="L80" s="12"/>
      <x:c r="M80" s="13"/>
      <x:c r="N80" s="11" t="str">
        <x:v>Bisnis</x:v>
      </x:c>
      <x:c r="O80" s="12"/>
    </x:row>
    <x:row r="81" ht="84" customHeight="1">
      <x:c r="A81" s="7" t="str">
        <x:v>PEOPLE-08</x:v>
      </x:c>
      <x:c r="B81" s="7" t="str">
        <x:v>People</x:v>
      </x:c>
      <x:c r="C81" s="7" t="str">
        <x:v>P1</x:v>
      </x:c>
      <x:c r="D81" s="7" t="str">
        <x:v>History mingguan/bulanan</x:v>
      </x:c>
      <x:c r="E81" s="7" t="str">
        <x:v>History tersedia</x:v>
      </x:c>
      <x:c r="F81" s="7" t="str">
        <x:v>1. Pilih grain week/month</x:v>
      </x:c>
      <x:c r="G81" s="7" t="str">
        <x:v>Tanggal awal/akhir dan metrics benar</x:v>
      </x:c>
      <x:c r="H81" s="12"/>
      <x:c r="I81" s="12" t="str">
        <x:v>Not Run</x:v>
      </x:c>
      <x:c r="J81" s="12"/>
      <x:c r="K81" s="12"/>
      <x:c r="L81" s="12"/>
      <x:c r="M81" s="13"/>
      <x:c r="N81" s="7" t="str">
        <x:v>Bisnis</x:v>
      </x:c>
      <x:c r="O81" s="12"/>
    </x:row>
    <x:row r="82" ht="84" customHeight="1">
      <x:c r="A82" s="11" t="str">
        <x:v>PEOPLE-09</x:v>
      </x:c>
      <x:c r="B82" s="11" t="str">
        <x:v>People</x:v>
      </x:c>
      <x:c r="C82" s="11" t="str">
        <x:v>P0</x:v>
      </x:c>
      <x:c r="D82" s="11" t="str">
        <x:v>Range 366 hari</x:v>
      </x:c>
      <x:c r="E82" s="11" t="str">
        <x:v>User berwenang</x:v>
      </x:c>
      <x:c r="F82" s="11" t="str">
        <x:v>1. Pilih range 366 hari</x:v>
      </x:c>
      <x:c r="G82" s="11" t="str">
        <x:v>Diterima</x:v>
      </x:c>
      <x:c r="H82" s="12"/>
      <x:c r="I82" s="12" t="str">
        <x:v>Not Run</x:v>
      </x:c>
      <x:c r="J82" s="12"/>
      <x:c r="K82" s="12"/>
      <x:c r="L82" s="12"/>
      <x:c r="M82" s="13"/>
      <x:c r="N82" s="11" t="str">
        <x:v>Bisnis</x:v>
      </x:c>
      <x:c r="O82" s="12"/>
    </x:row>
    <x:row r="83" ht="84" customHeight="1">
      <x:c r="A83" s="7" t="str">
        <x:v>PEOPLE-10</x:v>
      </x:c>
      <x:c r="B83" s="7" t="str">
        <x:v>People</x:v>
      </x:c>
      <x:c r="C83" s="7" t="str">
        <x:v>P0</x:v>
      </x:c>
      <x:c r="D83" s="7" t="str">
        <x:v>Range &gt;366/future/terbalik</x:v>
      </x:c>
      <x:c r="E83" s="7" t="str">
        <x:v>User berwenang</x:v>
      </x:c>
      <x:c r="F83" s="7" t="str">
        <x:v>1. Kirim range invalid</x:v>
      </x:c>
      <x:c r="G83" s="7" t="str">
        <x:v>Ditolak dengan pesan validasi</x:v>
      </x:c>
      <x:c r="H83" s="12"/>
      <x:c r="I83" s="12" t="str">
        <x:v>Not Run</x:v>
      </x:c>
      <x:c r="J83" s="12"/>
      <x:c r="K83" s="12"/>
      <x:c r="L83" s="12"/>
      <x:c r="M83" s="13"/>
      <x:c r="N83" s="7" t="str">
        <x:v>Bisnis</x:v>
      </x:c>
      <x:c r="O83" s="12"/>
    </x:row>
    <x:row r="84" ht="84" customHeight="1">
      <x:c r="A84" s="11" t="str">
        <x:v>PEOPLE-11</x:v>
      </x:c>
      <x:c r="B84" s="11" t="str">
        <x:v>People</x:v>
      </x:c>
      <x:c r="C84" s="11" t="str">
        <x:v>P0</x:v>
      </x:c>
      <x:c r="D84" s="11" t="str">
        <x:v>Role invalid</x:v>
      </x:c>
      <x:c r="E84" s="11" t="str">
        <x:v>User berwenang</x:v>
      </x:c>
      <x:c r="F84" s="11" t="str">
        <x:v>1. Panggil role selain osc/supervisor</x:v>
      </x:c>
      <x:c r="G84" s="11" t="str">
        <x:v>Ditolak</x:v>
      </x:c>
      <x:c r="H84" s="12"/>
      <x:c r="I84" s="12" t="str">
        <x:v>Not Run</x:v>
      </x:c>
      <x:c r="J84" s="12"/>
      <x:c r="K84" s="12"/>
      <x:c r="L84" s="12"/>
      <x:c r="M84" s="13"/>
      <x:c r="N84" s="11" t="str">
        <x:v>Bisnis</x:v>
      </x:c>
      <x:c r="O84" s="12"/>
    </x:row>
    <x:row r="85" ht="84" customHeight="1">
      <x:c r="A85" s="7" t="str">
        <x:v>PEOPLE-12</x:v>
      </x:c>
      <x:c r="B85" s="7" t="str">
        <x:v>People</x:v>
      </x:c>
      <x:c r="C85" s="7" t="str">
        <x:v>P0</x:v>
      </x:c>
      <x:c r="D85" s="7" t="str">
        <x:v>User di luar yurisdiksi</x:v>
      </x:c>
      <x:c r="E85" s="7" t="str">
        <x:v>User lain di depot berbeda</x:v>
      </x:c>
      <x:c r="F85" s="7" t="str">
        <x:v>1. Buka history/detail</x:v>
      </x:c>
      <x:c r="G85" s="7" t="str">
        <x:v>Ditolak</x:v>
      </x:c>
      <x:c r="H85" s="12"/>
      <x:c r="I85" s="12" t="str">
        <x:v>Not Run</x:v>
      </x:c>
      <x:c r="J85" s="12"/>
      <x:c r="K85" s="12"/>
      <x:c r="L85" s="12"/>
      <x:c r="M85" s="13"/>
      <x:c r="N85" s="7" t="str">
        <x:v>Bisnis</x:v>
      </x:c>
      <x:c r="O85" s="12"/>
    </x:row>
    <x:row r="86" ht="84" customHeight="1">
      <x:c r="A86" s="11" t="str">
        <x:v>PEOPLE-13</x:v>
      </x:c>
      <x:c r="B86" s="11" t="str">
        <x:v>People</x:v>
      </x:c>
      <x:c r="C86" s="11" t="str">
        <x:v>P0</x:v>
      </x:c>
      <x:c r="D86" s="11" t="str">
        <x:v>Archived depot/campaign</x:v>
      </x:c>
      <x:c r="E86" s="11" t="str">
        <x:v>Data archived tersedia</x:v>
      </x:c>
      <x:c r="F86" s="11" t="str">
        <x:v>1. Buka summary</x:v>
      </x:c>
      <x:c r="G86" s="11" t="str">
        <x:v>Tidak masuk metrics</x:v>
      </x:c>
      <x:c r="H86" s="12"/>
      <x:c r="I86" s="12" t="str">
        <x:v>Not Run</x:v>
      </x:c>
      <x:c r="J86" s="12"/>
      <x:c r="K86" s="12"/>
      <x:c r="L86" s="12"/>
      <x:c r="M86" s="13"/>
      <x:c r="N86" s="11" t="str">
        <x:v>Bisnis</x:v>
      </x:c>
      <x:c r="O86" s="12"/>
    </x:row>
    <x:row r="87" ht="84" customHeight="1">
      <x:c r="A87" s="7" t="str">
        <x:v>PEOPLE-14</x:v>
      </x:c>
      <x:c r="B87" s="7" t="str">
        <x:v>People</x:v>
      </x:c>
      <x:c r="C87" s="7" t="str">
        <x:v>P1</x:v>
      </x:c>
      <x:c r="D87" s="7" t="str">
        <x:v>Refresh route</x:v>
      </x:c>
      <x:c r="E87" s="7" t="str">
        <x:v>Frontend tersedia</x:v>
      </x:c>
      <x:c r="F87" s="7" t="str">
        <x:v>1. Buka /people-performance lalu refresh</x:v>
      </x:c>
      <x:c r="G87" s="7" t="str">
        <x:v>Rute tetap bekerja dan scope tidak berubah</x:v>
      </x:c>
      <x:c r="H87" s="12"/>
      <x:c r="I87" s="12" t="str">
        <x:v>Not Run</x:v>
      </x:c>
      <x:c r="J87" s="12"/>
      <x:c r="K87" s="12"/>
      <x:c r="L87" s="12"/>
      <x:c r="M87" s="13"/>
      <x:c r="N87" s="7" t="str">
        <x:v>Bisnis</x:v>
      </x:c>
      <x:c r="O87" s="12"/>
    </x:row>
    <x:row r="88" ht="84" customHeight="1">
      <x:c r="A88" s="11" t="str">
        <x:v>SEC-01</x:v>
      </x:c>
      <x:c r="B88" s="11" t="str">
        <x:v>Security</x:v>
      </x:c>
      <x:c r="C88" s="11" t="str">
        <x:v>P0</x:v>
      </x:c>
      <x:c r="D88" s="11" t="str">
        <x:v>Anonymous akses tabel/RPC</x:v>
      </x:c>
      <x:c r="E88" s="11" t="str">
        <x:v>QA memiliki daftar endpoint privat serta endpoint dashboard publik yang diizinkan.</x:v>
      </x:c>
      <x:c r="F88" s="11" t="str">
        <x:v>1. Tanpa login, QA mencoba baca tabel privat dan RPC bisnis
2. uji dashboard publik terpisah.</x:v>
      </x:c>
      <x:c r="G88" s="11" t="str">
        <x:v>Endpoint bisnis privat ditolak. Pengecualian dashboard publik hanya mengembalikan agregat yang diizinkan.</x:v>
      </x:c>
      <x:c r="H88" s="12"/>
      <x:c r="I88" s="12" t="str">
        <x:v>Not Run</x:v>
      </x:c>
      <x:c r="J88" s="12"/>
      <x:c r="K88" s="12"/>
      <x:c r="L88" s="12"/>
      <x:c r="M88" s="13"/>
      <x:c r="N88" s="11" t="str">
        <x:v>QA + bisnis</x:v>
      </x:c>
      <x:c r="O88" s="12"/>
    </x:row>
    <x:row r="89" ht="84" customHeight="1">
      <x:c r="A89" s="7" t="str">
        <x:v>SEC-02</x:v>
      </x:c>
      <x:c r="B89" s="7" t="str">
        <x:v>Security</x:v>
      </x:c>
      <x:c r="C89" s="7" t="str">
        <x:v>P0</x:v>
      </x:c>
      <x:c r="D89" s="7" t="str">
        <x:v>HTML/script injection</x:v>
      </x:c>
      <x:c r="E89" s="7" t="str">
        <x:v>Fixture nama/campaign/log berisi markup</x:v>
      </x:c>
      <x:c r="F89" s="7" t="str">
        <x:v>1. Tampilkan detail/log</x:v>
      </x:c>
      <x:c r="G89" s="7" t="str">
        <x:v>Dirender sebagai teks</x:v>
      </x:c>
      <x:c r="H89" s="12"/>
      <x:c r="I89" s="12" t="str">
        <x:v>Not Run</x:v>
      </x:c>
      <x:c r="J89" s="12"/>
      <x:c r="K89" s="12"/>
      <x:c r="L89" s="12"/>
      <x:c r="M89" s="13"/>
      <x:c r="N89" s="7" t="str">
        <x:v>QA + bisnis</x:v>
      </x:c>
      <x:c r="O89" s="12"/>
    </x:row>
    <x:row r="90" ht="84" customHeight="1">
      <x:c r="A90" s="11" t="str">
        <x:v>SEC-03</x:v>
      </x:c>
      <x:c r="B90" s="11" t="str">
        <x:v>Security</x:v>
      </x:c>
      <x:c r="C90" s="11" t="str">
        <x:v>P0</x:v>
      </x:c>
      <x:c r="D90" s="11" t="str">
        <x:v>Sensitive data leakage</x:v>
      </x:c>
      <x:c r="E90" s="11" t="str">
        <x:v>Data rekening/KTP/NPWP tersedia</x:v>
      </x:c>
      <x:c r="F90" s="11" t="str">
        <x:v>1. Periksa dashboard publik/log/export</x:v>
      </x:c>
      <x:c r="G90" s="11" t="str">
        <x:v>Tidak muncul di jalur yang tidak berizin</x:v>
      </x:c>
      <x:c r="H90" s="12"/>
      <x:c r="I90" s="12" t="str">
        <x:v>Not Run</x:v>
      </x:c>
      <x:c r="J90" s="12"/>
      <x:c r="K90" s="12"/>
      <x:c r="L90" s="12"/>
      <x:c r="M90" s="13"/>
      <x:c r="N90" s="11" t="str">
        <x:v>Bisnis</x:v>
      </x:c>
      <x:c r="O90" s="12"/>
    </x:row>
    <x:row r="91" ht="84" customHeight="1">
      <x:c r="A91" s="7" t="str">
        <x:v>SEC-04</x:v>
      </x:c>
      <x:c r="B91" s="7" t="str">
        <x:v>Security</x:v>
      </x:c>
      <x:c r="C91" s="7" t="str">
        <x:v>P0</x:v>
      </x:c>
      <x:c r="D91" s="7" t="str">
        <x:v>Supervisor lintas depot</x:v>
      </x:c>
      <x:c r="E91" s="7" t="str">
        <x:v>Supervisor area kewenangan terbatas</x:v>
      </x:c>
      <x:c r="F91" s="7" t="str">
        <x:v>1. Baca/mutasi depot lain</x:v>
      </x:c>
      <x:c r="G91" s="7" t="str">
        <x:v>Ditolak server</x:v>
      </x:c>
      <x:c r="H91" s="12"/>
      <x:c r="I91" s="12" t="str">
        <x:v>Not Run</x:v>
      </x:c>
      <x:c r="J91" s="12"/>
      <x:c r="K91" s="12"/>
      <x:c r="L91" s="12"/>
      <x:c r="M91" s="13"/>
      <x:c r="N91" s="7" t="str">
        <x:v>Bisnis</x:v>
      </x:c>
      <x:c r="O91" s="12"/>
    </x:row>
    <x:row r="92" ht="84" customHeight="1">
      <x:c r="A92" s="11" t="str">
        <x:v>UX-01</x:v>
      </x:c>
      <x:c r="B92" s="11" t="str">
        <x:v>UX</x:v>
      </x:c>
      <x:c r="C92" s="11" t="str">
        <x:v>P1</x:v>
      </x:c>
      <x:c r="D92" s="11" t="str">
        <x:v>Desktop workflow</x:v>
      </x:c>
      <x:c r="E92" s="11" t="str">
        <x:v>Browser desktop</x:v>
      </x:c>
      <x:c r="F92" s="11" t="str">
        <x:v>1. Jalankan login sampai report</x:v>
      </x:c>
      <x:c r="G92" s="11" t="str">
        <x:v>Tidak ada layout, modal, chart, atau tabel rusak</x:v>
      </x:c>
      <x:c r="H92" s="12"/>
      <x:c r="I92" s="12" t="str">
        <x:v>Not Run</x:v>
      </x:c>
      <x:c r="J92" s="12"/>
      <x:c r="K92" s="12"/>
      <x:c r="L92" s="12"/>
      <x:c r="M92" s="13"/>
      <x:c r="N92" s="11" t="str">
        <x:v>Bisnis</x:v>
      </x:c>
      <x:c r="O92" s="12"/>
    </x:row>
    <x:row r="93" ht="84" customHeight="1">
      <x:c r="A93" s="7" t="str">
        <x:v>UX-02</x:v>
      </x:c>
      <x:c r="B93" s="7" t="str">
        <x:v>UX</x:v>
      </x:c>
      <x:c r="C93" s="7" t="str">
        <x:v>P1</x:v>
      </x:c>
      <x:c r="D93" s="7" t="str">
        <x:v>Mobile workflow</x:v>
      </x:c>
      <x:c r="E93" s="7" t="str">
        <x:v>Browser mobile</x:v>
      </x:c>
      <x:c r="F93" s="7" t="str">
        <x:v>1. Jalankan login, filter, detail, submit</x:v>
      </x:c>
      <x:c r="G93" s="7" t="str">
        <x:v>Tidak ada overlap/overflow kritis</x:v>
      </x:c>
      <x:c r="H93" s="12"/>
      <x:c r="I93" s="12" t="str">
        <x:v>Not Run</x:v>
      </x:c>
      <x:c r="J93" s="12"/>
      <x:c r="K93" s="12"/>
      <x:c r="L93" s="12"/>
      <x:c r="M93" s="13"/>
      <x:c r="N93" s="7" t="str">
        <x:v>Bisnis</x:v>
      </x:c>
      <x:c r="O93" s="12"/>
    </x:row>
    <x:row r="94" ht="84" customHeight="1">
      <x:c r="A94" s="11" t="str">
        <x:v>UX-03</x:v>
      </x:c>
      <x:c r="B94" s="11" t="str">
        <x:v>UX</x:v>
      </x:c>
      <x:c r="C94" s="11" t="str">
        <x:v>P1</x:v>
      </x:c>
      <x:c r="D94" s="11" t="str">
        <x:v>Error/loading/empty</x:v>
      </x:c>
      <x:c r="E94" s="11" t="str">
        <x:v>Siapkan kondisi error dan data kosong</x:v>
      </x:c>
      <x:c r="F94" s="11" t="str">
        <x:v>1. Buka tiap state</x:v>
      </x:c>
      <x:c r="G94" s="11" t="str">
        <x:v>State dibedakan jelas</x:v>
      </x:c>
      <x:c r="H94" s="12"/>
      <x:c r="I94" s="12" t="str">
        <x:v>Not Run</x:v>
      </x:c>
      <x:c r="J94" s="12"/>
      <x:c r="K94" s="12"/>
      <x:c r="L94" s="12"/>
      <x:c r="M94" s="13"/>
      <x:c r="N94" s="11" t="str">
        <x:v>Bisnis</x:v>
      </x:c>
      <x:c r="O94" s="12"/>
    </x:row>
    <x:row r="95" ht="84" customHeight="1">
      <x:c r="A95" s="7" t="str">
        <x:v>UX-04</x:v>
      </x:c>
      <x:c r="B95" s="7" t="str">
        <x:v>UX</x:v>
      </x:c>
      <x:c r="C95" s="7" t="str">
        <x:v>P1</x:v>
      </x:c>
      <x:c r="D95" s="7" t="str">
        <x:v>Double submit UI</x:v>
      </x:c>
      <x:c r="E95" s="7" t="str">
        <x:v>Form valid</x:v>
      </x:c>
      <x:c r="F95" s="7" t="str">
        <x:v>1. Klik tombol berulang</x:v>
      </x:c>
      <x:c r="G95" s="7" t="str">
        <x:v>Pengiriman kedua ditahan</x:v>
      </x:c>
      <x:c r="H95" s="12"/>
      <x:c r="I95" s="12" t="str">
        <x:v>Not Run</x:v>
      </x:c>
      <x:c r="J95" s="12"/>
      <x:c r="K95" s="12"/>
      <x:c r="L95" s="12"/>
      <x:c r="M95" s="13"/>
      <x:c r="N95" s="7" t="str">
        <x:v>Bisnis</x:v>
      </x:c>
      <x:c r="O95" s="12"/>
    </x:row>
    <x:row r="96" ht="84" customHeight="1">
      <x:c r="A96" s="11" t="str">
        <x:v>NFR-01</x:v>
      </x:c>
      <x:c r="B96" s="11" t="str">
        <x:v>NFR</x:v>
      </x:c>
      <x:c r="C96" s="11" t="str">
        <x:v>P0</x:v>
      </x:c>
      <x:c r="D96" s="11" t="str">
        <x:v>No production mutation</x:v>
      </x:c>
      <x:c r="E96" s="11" t="str">
        <x:v>Staging/test terpisah, daftar data dummy dummy dan penanggung jawab cleanup telah ditetapkan.</x:v>
      </x:c>
      <x:c r="F96" s="11" t="str">
        <x:v>1. Cocokkan URL dan project sebelum mutasi
2. catat ID fixture
3. setelah pengujian, QA rekonsiliasi dan membersihkan fixture yang terverifikasi.</x:v>
      </x:c>
      <x:c r="G96" s="11" t="str">
        <x:v>Tidak ada mutasi pada data operasional. Bukti environment, daftar fixture dan cleanup tersedia. Jika staging belum siap, tandai Blocked.</x:v>
      </x:c>
      <x:c r="H96" s="12"/>
      <x:c r="I96" s="12" t="str">
        <x:v>Not Run</x:v>
      </x:c>
      <x:c r="J96" s="12"/>
      <x:c r="K96" s="12"/>
      <x:c r="L96" s="12"/>
      <x:c r="M96" s="13"/>
      <x:c r="N96" s="11" t="str">
        <x:v>Bisnis</x:v>
      </x:c>
      <x:c r="O96" s="12"/>
    </x:row>
    <x:row r="97" ht="84" customHeight="1">
      <x:c r="A97" s="7" t="str">
        <x:v>NFR-02</x:v>
      </x:c>
      <x:c r="B97" s="7" t="str">
        <x:v>NFR</x:v>
      </x:c>
      <x:c r="C97" s="7" t="str">
        <x:v>P1</x:v>
      </x:c>
      <x:c r="D97" s="7" t="str">
        <x:v>Audit traceability</x:v>
      </x:c>
      <x:c r="E97" s="7" t="str">
        <x:v>Transaksi berhasil</x:v>
      </x:c>
      <x:c r="F97" s="7" t="str">
        <x:v>1. Cari request ID/actor/history</x:v>
      </x:c>
      <x:c r="G97" s="7" t="str">
        <x:v>Setiap keputusan dapat ditelusuri</x:v>
      </x:c>
      <x:c r="H97" s="12"/>
      <x:c r="I97" s="12" t="str">
        <x:v>Not Run</x:v>
      </x:c>
      <x:c r="J97" s="12"/>
      <x:c r="K97" s="12"/>
      <x:c r="L97" s="12"/>
      <x:c r="M97" s="13"/>
      <x:c r="N97" s="7" t="str">
        <x:v>QA + bisnis</x:v>
      </x:c>
      <x:c r="O97" s="12"/>
    </x:row>
    <x:row r="98" ht="84" customHeight="1">
      <x:c r="A98" s="11" t="str">
        <x:v>NFR-03</x:v>
      </x:c>
      <x:c r="B98" s="11" t="str">
        <x:v>NFR</x:v>
      </x:c>
      <x:c r="C98" s="11" t="str">
        <x:v>P1</x:v>
      </x:c>
      <x:c r="D98" s="11" t="str">
        <x:v>Performance disclaimer</x:v>
      </x:c>
      <x:c r="E98" s="11" t="str">
        <x:v>Belum tersedia hasil load test pada staging khusus.</x:v>
      </x:c>
      <x:c r="F98" s="11" t="str">
        <x:v>1. Periksa laporan kapasitas dan bukti alat load test yang benar-benar dijalankan.</x:v>
      </x:c>
      <x:c r="G98" s="11" t="str">
        <x:v>Tidak mengklaim lulus 1.000/1.500 concurrent users tanpa bukti. UAT fungsional tidak menggantikan load/stress test.</x:v>
      </x:c>
      <x:c r="H98" s="12"/>
      <x:c r="I98" s="12" t="str">
        <x:v>Not Run</x:v>
      </x:c>
      <x:c r="J98" s="12"/>
      <x:c r="K98" s="12"/>
      <x:c r="L98" s="12"/>
      <x:c r="M98" s="13"/>
      <x:c r="N98" s="11" t="str">
        <x:v>Bisnis</x:v>
      </x:c>
      <x:c r="O98" s="12"/>
    </x:row>
    <x:row r="99" ht="84" customHeight="1">
      <x:c r="A99" s="7" t="str">
        <x:v>CAM-DATE-01</x:v>
      </x:c>
      <x:c r="B99" s="7" t="str">
        <x:v>Campaign period</x:v>
      </x:c>
      <x:c r="C99" s="7" t="str">
        <x:v>P0</x:v>
      </x:c>
      <x:c r="D99" s="7" t="str">
        <x:v>Empat tanggal campaign disimpan terpisah</x:v>
      </x:c>
      <x:c r="E99" s="7" t="str">
        <x:v>Campaign dummy baru; akses edit master.</x:v>
      </x:c>
      <x:c r="F99" s="7" t="str">
        <x:v>1. Isi SO 01-Jan-2026 s/d 31-Mar-2026 dan Billing 01-Feb-2026 s/d 30-Apr-2026.
2. Simpan, refresh, buka kembali master.</x:v>
      </x:c>
      <x:c r="G99" s="7" t="str">
        <x:v>Empat tanggal tersimpan pada field yang benar; SO tidak menimpa Billing.</x:v>
      </x:c>
      <x:c r="H99" s="12"/>
      <x:c r="I99" s="12" t="str">
        <x:v>Not Run</x:v>
      </x:c>
      <x:c r="J99" s="12"/>
      <x:c r="K99" s="12"/>
      <x:c r="L99" s="12"/>
      <x:c r="M99" s="13"/>
      <x:c r="N99" s="7" t="str">
        <x:v>Bisnis</x:v>
      </x:c>
      <x:c r="O99" s="12" t="str">
        <x:v>Verifikasi pada build UAT; ketersediaan belum disahkan.</x:v>
      </x:c>
    </x:row>
    <x:row r="100" ht="84" customHeight="1">
      <x:c r="A100" s="11" t="str">
        <x:v>CAM-DATE-02</x:v>
      </x:c>
      <x:c r="B100" s="11" t="str">
        <x:v>Campaign period</x:v>
      </x:c>
      <x:c r="C100" s="11" t="str">
        <x:v>P0</x:v>
      </x:c>
      <x:c r="D100" s="11" t="str">
        <x:v>Template campaign dan round trip upload</x:v>
      </x:c>
      <x:c r="E100" s="11" t="str">
        <x:v>Template terbaru dan campaign dummy.</x:v>
      </x:c>
      <x:c r="F100" s="11" t="str">
        <x:v>1. Unduh Template Campaign.
2. Isi empat tanggal berbeda, Jenis CB dan status.
3. Upload, preview, simpan lalu baca ulang.</x:v>
      </x:c>
      <x:c r="G100" s="11" t="str">
        <x:v>Header SO Start/End dan Billing Start/End tersedia; nilai masuk ke field yang benar tanpa pergeseran kolom.</x:v>
      </x:c>
      <x:c r="H100" s="12"/>
      <x:c r="I100" s="12" t="str">
        <x:v>Not Run</x:v>
      </x:c>
      <x:c r="J100" s="12"/>
      <x:c r="K100" s="12"/>
      <x:c r="L100" s="12"/>
      <x:c r="M100" s="13"/>
      <x:c r="N100" s="11" t="str">
        <x:v>Bisnis</x:v>
      </x:c>
      <x:c r="O100" s="12"/>
    </x:row>
    <x:row r="101" ht="84" customHeight="1">
      <x:c r="A101" s="7" t="str">
        <x:v>CAM-DATE-03</x:v>
      </x:c>
      <x:c r="B101" s="7" t="str">
        <x:v>Campaign period</x:v>
      </x:c>
      <x:c r="C101" s="7" t="str">
        <x:v>P0</x:v>
      </x:c>
      <x:c r="D101" s="7" t="str">
        <x:v>Tanggal terbalik dan tidak sah</x:v>
      </x:c>
      <x:c r="E101" s="7" t="str">
        <x:v>Salinan campaign dummy.</x:v>
      </x:c>
      <x:c r="F101" s="7" t="str">
        <x:v>1. Coba akhir sebelum awal untuk SO dan Billing secara terpisah.
2. Coba tanggal 31-Feb-2026.
3. Periksa pesan serta master setelah percobaan.</x:v>
      </x:c>
      <x:c r="G101" s="7" t="str">
        <x:v>Input tidak sah ditolak dengan alasan jelas; tidak tersimpan sebagai tanggal lain atau NULL diam-diam.</x:v>
      </x:c>
      <x:c r="H101" s="12"/>
      <x:c r="I101" s="12" t="str">
        <x:v>Not Run</x:v>
      </x:c>
      <x:c r="J101" s="12"/>
      <x:c r="K101" s="12"/>
      <x:c r="L101" s="12"/>
      <x:c r="M101" s="13"/>
      <x:c r="N101" s="7" t="str">
        <x:v>Bisnis</x:v>
      </x:c>
      <x:c r="O101" s="12"/>
    </x:row>
    <x:row r="102" ht="84" customHeight="1">
      <x:c r="A102" s="11" t="str">
        <x:v>CAM-DATE-04</x:v>
      </x:c>
      <x:c r="B102" s="11" t="str">
        <x:v>Campaign period</x:v>
      </x:c>
      <x:c r="C102" s="11" t="str">
        <x:v>P1</x:v>
      </x:c>
      <x:c r="D102" s="11" t="str">
        <x:v>Satu pasangan periode kosong</x:v>
      </x:c>
      <x:c r="E102" s="11" t="str">
        <x:v>Campaign dummy.</x:v>
      </x:c>
      <x:c r="F102" s="11" t="str">
        <x:v>1. Kosongkan Billing Start saja lalu preview.
2. Coba kedua field Billing kosong.
3. Catat aturan dan hasil filter report.</x:v>
      </x:c>
      <x:c r="G102" s="11" t="str">
        <x:v>Tidak ada tanggal hasil tebakan. Aturan wajib/kosong dijelaskan dan hasil filter dapat ditelusuri.</x:v>
      </x:c>
      <x:c r="H102" s="12"/>
      <x:c r="I102" s="12" t="str">
        <x:v>Not Run</x:v>
      </x:c>
      <x:c r="J102" s="12"/>
      <x:c r="K102" s="12"/>
      <x:c r="L102" s="12"/>
      <x:c r="M102" s="13"/>
      <x:c r="N102" s="11" t="str">
        <x:v>Bisnis</x:v>
      </x:c>
      <x:c r="O102" s="12" t="str">
        <x:v>Pemilik produk mengesahkan aturan kelengkapan tanggal sebelum sign-off.</x:v>
      </x:c>
    </x:row>
    <x:row r="103" ht="84" customHeight="1">
      <x:c r="A103" s="7" t="str">
        <x:v>CAM-DATE-05</x:v>
      </x:c>
      <x:c r="B103" s="7" t="str">
        <x:v>Campaign period</x:v>
      </x:c>
      <x:c r="C103" s="7" t="str">
        <x:v>P0</x:v>
      </x:c>
      <x:c r="D103" s="7" t="str">
        <x:v>On Hold memakai periode campaign</x:v>
      </x:c>
      <x:c r="E103" s="7" t="str">
        <x:v>Campaign empat tanggal dan dokumen Not Yet.</x:v>
      </x:c>
      <x:c r="F103" s="7" t="str">
        <x:v>1. Buka Posting Exception On Hold.
2. Cocokkan acuan SO/Billing dengan master.
3. Ajukan perubahan Billing saja lalu cek sebelum approval.</x:v>
      </x:c>
      <x:c r="G103" s="7" t="str">
        <x:v>Acuan benar; SO tetap; usulan Billing belum efektif saat Pending.</x:v>
      </x:c>
      <x:c r="H103" s="12"/>
      <x:c r="I103" s="12" t="str">
        <x:v>Not Run</x:v>
      </x:c>
      <x:c r="J103" s="12"/>
      <x:c r="K103" s="12"/>
      <x:c r="L103" s="12"/>
      <x:c r="M103" s="13"/>
      <x:c r="N103" s="7" t="str">
        <x:v>Bisnis</x:v>
      </x:c>
      <x:c r="O103" s="12"/>
    </x:row>
    <x:row r="104" ht="84" customHeight="1">
      <x:c r="A104" s="11" t="str">
        <x:v>CAM-DATE-06</x:v>
      </x:c>
      <x:c r="B104" s="11" t="str">
        <x:v>Campaign period</x:v>
      </x:c>
      <x:c r="C104" s="11" t="str">
        <x:v>P0</x:v>
      </x:c>
      <x:c r="D104" s="11" t="str">
        <x:v>Approval periode sinkron lintas modul</x:v>
      </x:c>
      <x:c r="E104" s="11" t="str">
        <x:v>Usulan On Hold disetujui reviewer lain.</x:v>
      </x:c>
      <x:c r="F104" s="11" t="str">
        <x:v>1. Approve usulan.
2. Refresh Document Center dan Analytics Details.
3. Bandingkan SO/Billing dengan keputusan approval.</x:v>
      </x:c>
      <x:c r="G104" s="11" t="str">
        <x:v>Kedua modul menunjukkan periode efektif yang sama. Usulan yang di-Reject tidak diterapkan.</x:v>
      </x:c>
      <x:c r="H104" s="12"/>
      <x:c r="I104" s="12" t="str">
        <x:v>Not Run</x:v>
      </x:c>
      <x:c r="J104" s="12"/>
      <x:c r="K104" s="12"/>
      <x:c r="L104" s="12"/>
      <x:c r="M104" s="13"/>
      <x:c r="N104" s="11" t="str">
        <x:v>Bisnis</x:v>
      </x:c>
      <x:c r="O104" s="12"/>
    </x:row>
    <x:row r="105" ht="84" customHeight="1">
      <x:c r="A105" s="7" t="str">
        <x:v>CAM-DATE-07</x:v>
      </x:c>
      <x:c r="B105" s="7" t="str">
        <x:v>Campaign period</x:v>
      </x:c>
      <x:c r="C105" s="7" t="str">
        <x:v>P0</x:v>
      </x:c>
      <x:c r="D105" s="7" t="str">
        <x:v>Compile memakai periode master</x:v>
      </x:c>
      <x:c r="E105" s="7" t="str">
        <x:v>Campaign valid dan file compile dummy.</x:v>
      </x:c>
      <x:c r="F105" s="7" t="str">
        <x:v>1. Preview file compile dengan campaign terkait.
2. Posting lalu buka Details dokumen.</x:v>
      </x:c>
      <x:c r="G105" s="7" t="str">
        <x:v>Dokumen berstatus Not Yet; empat periode sesuai master/aturan efektif tanpa tertukar.</x:v>
      </x:c>
      <x:c r="H105" s="12"/>
      <x:c r="I105" s="12" t="str">
        <x:v>Not Run</x:v>
      </x:c>
      <x:c r="J105" s="12"/>
      <x:c r="K105" s="12"/>
      <x:c r="L105" s="12"/>
      <x:c r="M105" s="13"/>
      <x:c r="N105" s="7" t="str">
        <x:v>Bisnis</x:v>
      </x:c>
      <x:c r="O105" s="12"/>
    </x:row>
    <x:row r="106" ht="84" customHeight="1">
      <x:c r="A106" s="11" t="str">
        <x:v>REPORT-07</x:v>
      </x:c>
      <x:c r="B106" s="11" t="str">
        <x:v>Report</x:v>
      </x:c>
      <x:c r="C106" s="11" t="str">
        <x:v>P0</x:v>
      </x:c>
      <x:c r="D106" s="11" t="str">
        <x:v>Filter periode berdasarkan Billing</x:v>
      </x:c>
      <x:c r="E106" s="11" t="str">
        <x:v>Campaign SO Jan–Mar dan Billing Feb–Apr 2026.</x:v>
      </x:c>
      <x:c r="F106" s="11" t="str">
        <x:v>1. Filter tanggal di Januari saja.
2. Filter Februari s/d April.
3. Cocokkan dokumen yang masuk dengan periode Billing.</x:v>
      </x:c>
      <x:c r="G106" s="11" t="str">
        <x:v>Tanggal SO atau upload tidak menjadi pengganti Billing pada filter. Hasil sesuai definisi batas periode yang disahkan.</x:v>
      </x:c>
      <x:c r="H106" s="12"/>
      <x:c r="I106" s="12" t="str">
        <x:v>Not Run</x:v>
      </x:c>
      <x:c r="J106" s="12"/>
      <x:c r="K106" s="12"/>
      <x:c r="L106" s="12"/>
      <x:c r="M106" s="13"/>
      <x:c r="N106" s="11" t="str">
        <x:v>Bisnis</x:v>
      </x:c>
      <x:c r="O106" s="12" t="str">
        <x:v>Uji batas inklusif dan overlap dicatat pada REPORT-09.</x:v>
      </x:c>
    </x:row>
    <x:row r="107" ht="84" customHeight="1">
      <x:c r="A107" s="7" t="str">
        <x:v>REPORT-08</x:v>
      </x:c>
      <x:c r="B107" s="7" t="str">
        <x:v>Report</x:v>
      </x:c>
      <x:c r="C107" s="7" t="str">
        <x:v>P0</x:v>
      </x:c>
      <x:c r="D107" s="7" t="str">
        <x:v>Campaign Year dan campaign lintas tahun</x:v>
      </x:c>
      <x:c r="E107" s="7" t="str">
        <x:v>Campaign SO mulai 2025; Billing mulai 2026; campaign lain Billing lintas 2026–2027.</x:v>
      </x:c>
      <x:c r="F107" s="7" t="str">
        <x:v>1. Pilih Campaign Year 2026 dan 2025.
2. Bandingkan dengan tanggal master dan dokumen.</x:v>
      </x:c>
      <x:c r="G107" s="7" t="str">
        <x:v>Tahun mengikuti dasar Billing yang disahkan untuk Report; tidak diambil dari kode campaign atau tanggal proses.</x:v>
      </x:c>
      <x:c r="H107" s="12"/>
      <x:c r="I107" s="12" t="str">
        <x:v>Not Run</x:v>
      </x:c>
      <x:c r="J107" s="12"/>
      <x:c r="K107" s="12"/>
      <x:c r="L107" s="12"/>
      <x:c r="M107" s="13"/>
      <x:c r="N107" s="7" t="str">
        <x:v>Bisnis</x:v>
      </x:c>
      <x:c r="O107" s="12" t="str">
        <x:v>Konfirmasi definisi year untuk rentang lintas tahun sebelum sign-off.</x:v>
      </x:c>
    </x:row>
    <x:row r="108" ht="84" customHeight="1">
      <x:c r="A108" s="11" t="str">
        <x:v>REPORT-09</x:v>
      </x:c>
      <x:c r="B108" s="11" t="str">
        <x:v>Report</x:v>
      </x:c>
      <x:c r="C108" s="11" t="str">
        <x:v>P0</x:v>
      </x:c>
      <x:c r="D108" s="11" t="str">
        <x:v>Batas awal akhir Billing</x:v>
      </x:c>
      <x:c r="E108" s="11" t="str">
        <x:v>Campaign Billing 01-Feb-2026 s/d 30-Apr-2026.</x:v>
      </x:c>
      <x:c r="F108" s="11" t="str">
        <x:v>1. Uji tepat awal, tepat akhir, sehari sebelum/sesudah.
2. Uji rentang yang beririsan sebagian.
3. Uji awal lebih besar dari akhir.</x:v>
      </x:c>
      <x:c r="G108" s="11" t="str">
        <x:v>Batas tanggal inklusif/aturan overlap konsisten dengan keputusan bisnis; rentang terbalik ditolak.</x:v>
      </x:c>
      <x:c r="H108" s="12"/>
      <x:c r="I108" s="12" t="str">
        <x:v>Not Run</x:v>
      </x:c>
      <x:c r="J108" s="12"/>
      <x:c r="K108" s="12"/>
      <x:c r="L108" s="12"/>
      <x:c r="M108" s="13"/>
      <x:c r="N108" s="11" t="str">
        <x:v>Bisnis</x:v>
      </x:c>
      <x:c r="O108" s="12" t="str">
        <x:v>Keputusan bisnis batas/overlap harus dicatat di hasil aktual.</x:v>
      </x:c>
    </x:row>
    <x:row r="109" ht="84" customHeight="1">
      <x:c r="A109" s="7" t="str">
        <x:v>REPORT-10</x:v>
      </x:c>
      <x:c r="B109" s="7" t="str">
        <x:v>Report</x:v>
      </x:c>
      <x:c r="C109" s="7" t="str">
        <x:v>P0</x:v>
      </x:c>
      <x:c r="D109" s="7" t="str">
        <x:v>Filter tersinkron seluruh tab dan ekspor</x:v>
      </x:c>
      <x:c r="E109" s="7" t="str">
        <x:v>Data campuran dua tahun/Billing.</x:v>
      </x:c>
      <x:c r="F109" s="7" t="str">
        <x:v>1. Set tahun dan Billing di Report.
2. Buka Dashboard, Cost Center 1 dan 2.
3. Ekspor lalu bandingkan dengan layar.</x:v>
      </x:c>
      <x:c r="G109" s="7" t="str">
        <x:v>Semua tab/ekspor mengikuti filter yang sama; tidak memakai cache filter sebelumnya.</x:v>
      </x:c>
      <x:c r="H109" s="12"/>
      <x:c r="I109" s="12" t="str">
        <x:v>Not Run</x:v>
      </x:c>
      <x:c r="J109" s="12"/>
      <x:c r="K109" s="12"/>
      <x:c r="L109" s="12"/>
      <x:c r="M109" s="13"/>
      <x:c r="N109" s="7" t="str">
        <x:v>Bisnis</x:v>
      </x:c>
      <x:c r="O109" s="12"/>
    </x:row>
    <x:row r="110" ht="84" customHeight="1">
      <x:c r="A110" s="11" t="str">
        <x:v>REPORT-11</x:v>
      </x:c>
      <x:c r="B110" s="11" t="str">
        <x:v>Report</x:v>
      </x:c>
      <x:c r="C110" s="11" t="str">
        <x:v>P1</x:v>
      </x:c>
      <x:c r="D110" s="11" t="str">
        <x:v>Reset filter dan Billing kosong</x:v>
      </x:c>
      <x:c r="E110" s="11" t="str">
        <x:v>Campaign dengan Billing kosong dan lengkap.</x:v>
      </x:c>
      <x:c r="F110" s="11" t="str">
        <x:v>1. Pilih lalu kosongkan filter tahun/tanggal.
2. Pilih tahun lain.
3. Catat perlakuan campaign Billing kosong.</x:v>
      </x:c>
      <x:c r="G110" s="11" t="str">
        <x:v>Filter dapat direset; daftar tahun tidak terkunci; Billing kosong tidak diam-diam mengikuti SO.</x:v>
      </x:c>
      <x:c r="H110" s="12"/>
      <x:c r="I110" s="12" t="str">
        <x:v>Not Run</x:v>
      </x:c>
      <x:c r="J110" s="12"/>
      <x:c r="K110" s="12"/>
      <x:c r="L110" s="12"/>
      <x:c r="M110" s="13"/>
      <x:c r="N110" s="11" t="str">
        <x:v>Bisnis</x:v>
      </x:c>
      <x:c r="O110" s="12"/>
    </x:row>
    <x:row r="111" ht="84" customHeight="1">
      <x:c r="A111" s="7" t="str">
        <x:v>DC-01</x:v>
      </x:c>
      <x:c r="B111" s="7" t="str">
        <x:v>Document Center</x:v>
      </x:c>
      <x:c r="C111" s="7" t="str">
        <x:v>P0</x:v>
      </x:c>
      <x:c r="D111" s="7" t="str">
        <x:v>Batas compile 2.000 dan 2.001</x:v>
      </x:c>
      <x:c r="E111" s="7" t="str">
        <x:v>File dummy unik dan master valid.</x:v>
      </x:c>
      <x:c r="F111" s="7" t="str">
        <x:v>1. Preview/post 2.000 baris di staging.
2. Coba 2.001 baris dalam satu posting.</x:v>
      </x:c>
      <x:c r="G111" s="7" t="str">
        <x:v>2.000 diterima jika valid; 2.001 ditolak tanpa memotong baris diam-diam.</x:v>
      </x:c>
      <x:c r="H111" s="12"/>
      <x:c r="I111" s="12" t="str">
        <x:v>Not Run</x:v>
      </x:c>
      <x:c r="J111" s="12"/>
      <x:c r="K111" s="12"/>
      <x:c r="L111" s="12"/>
      <x:c r="M111" s="13"/>
      <x:c r="N111" s="7" t="str">
        <x:v>QA + bisnis</x:v>
      </x:c>
      <x:c r="O111" s="12"/>
    </x:row>
    <x:row r="112" ht="84" customHeight="1">
      <x:c r="A112" s="11" t="str">
        <x:v>DC-02</x:v>
      </x:c>
      <x:c r="B112" s="11" t="str">
        <x:v>Document Center</x:v>
      </x:c>
      <x:c r="C112" s="11" t="str">
        <x:v>P0</x:v>
      </x:c>
      <x:c r="D112" s="11" t="str">
        <x:v>Retry compile tidak duplikat</x:v>
      </x:c>
      <x:c r="E112" s="11" t="str">
        <x:v>Satu compile dummy berhasil.</x:v>
      </x:c>
      <x:c r="F112" s="11" t="str">
        <x:v>1. QA ulang request ID yang sama.
2. Cari batch dan dokumen hasilnya.</x:v>
      </x:c>
      <x:c r="G112" s="11" t="str">
        <x:v>Tidak ada dokumen atau batch kedua untuk replay yang sama.</x:v>
      </x:c>
      <x:c r="H112" s="12"/>
      <x:c r="I112" s="12" t="str">
        <x:v>Not Run</x:v>
      </x:c>
      <x:c r="J112" s="12"/>
      <x:c r="K112" s="12"/>
      <x:c r="L112" s="12"/>
      <x:c r="M112" s="13"/>
      <x:c r="N112" s="11" t="str">
        <x:v>QA + bisnis</x:v>
      </x:c>
      <x:c r="O112" s="12"/>
    </x:row>
    <x:row r="113" ht="84" customHeight="1">
      <x:c r="A113" s="7" t="str">
        <x:v>DC-03</x:v>
      </x:c>
      <x:c r="B113" s="7" t="str">
        <x:v>Document Center</x:v>
      </x:c>
      <x:c r="C113" s="7" t="str">
        <x:v>P1</x:v>
      </x:c>
      <x:c r="D113" s="7" t="str">
        <x:v>Reprocessing dan remark</x:v>
      </x:c>
      <x:c r="E113" s="7" t="str">
        <x:v>Dokumen dummy memenuhi syarat reprocessing.</x:v>
      </x:c>
      <x:c r="F113" s="7" t="str">
        <x:v>1. Buka Reprocessing Doc.
2. Jalankan tindakan yang diizinkan.
3. Periksa Analytics dan batch.</x:v>
      </x:c>
      <x:c r="G113" s="7" t="str">
        <x:v>Alur tersimpan; remark Reprocessing dan batch dapat ditelusuri.</x:v>
      </x:c>
      <x:c r="H113" s="12"/>
      <x:c r="I113" s="12" t="str">
        <x:v>Not Run</x:v>
      </x:c>
      <x:c r="J113" s="12"/>
      <x:c r="K113" s="12"/>
      <x:c r="L113" s="12"/>
      <x:c r="M113" s="13"/>
      <x:c r="N113" s="7" t="str">
        <x:v>Bisnis</x:v>
      </x:c>
      <x:c r="O113" s="12"/>
    </x:row>
    <x:row r="114" ht="84" customHeight="1">
      <x:c r="A114" s="11" t="str">
        <x:v>ACCESS-13</x:v>
      </x:c>
      <x:c r="B114" s="11" t="str">
        <x:v>Access</x:v>
      </x:c>
      <x:c r="C114" s="11" t="str">
        <x:v>P0</x:v>
      </x:c>
      <x:c r="D114" s="11" t="str">
        <x:v>Izin tab sinkron setelah save</x:v>
      </x:c>
      <x:c r="E114" s="11" t="str">
        <x:v>Akun dummy dan pengelola berwenang.</x:v>
      </x:c>
      <x:c r="F114" s="11" t="str">
        <x:v>1. Atur centang beberapa tab; simpan.
2. Refresh Edit Akses.
3. Login ulang akun target dan uji tab diizinkan/ditolak.</x:v>
      </x:c>
      <x:c r="G114" s="11" t="str">
        <x:v>Checkbox terbaca kembali dengan benar; izin berlaku pada UI dan operasi server.</x:v>
      </x:c>
      <x:c r="H114" s="12"/>
      <x:c r="I114" s="12" t="str">
        <x:v>Not Run</x:v>
      </x:c>
      <x:c r="J114" s="12"/>
      <x:c r="K114" s="12"/>
      <x:c r="L114" s="12"/>
      <x:c r="M114" s="13"/>
      <x:c r="N114" s="11" t="str">
        <x:v>QA + bisnis</x:v>
      </x:c>
      <x:c r="O114" s="12"/>
    </x:row>
    <x:row r="115" ht="84" customHeight="1">
      <x:c r="A115" s="7" t="str">
        <x:v>USER-UP-11</x:v>
      </x:c>
      <x:c r="B115" s="7" t="str">
        <x:v>User Upload</x:v>
      </x:c>
      <x:c r="C115" s="7" t="str">
        <x:v>P0</x:v>
      </x:c>
      <x:c r="D115" s="7" t="str">
        <x:v>Area lebih dari satu depot</x:v>
      </x:c>
      <x:c r="E115" s="7" t="str">
        <x:v>Dua kode depot staging sah dalam kewenangan.</x:v>
      </x:c>
      <x:c r="F115" s="7" t="str">
        <x:v>1. Isi Resource Partner / Area dengan dua kode dipisahkan koma.
2. Upload, approve melalui reviewer lain lalu baca akses.</x:v>
      </x:c>
      <x:c r="G115" s="7" t="str">
        <x:v>Kedua depot disimpan tepat; tidak otomatis memperluas ke seluruh region.</x:v>
      </x:c>
      <x:c r="H115" s="12"/>
      <x:c r="I115" s="12" t="str">
        <x:v>Not Run</x:v>
      </x:c>
      <x:c r="J115" s="12"/>
      <x:c r="K115" s="12"/>
      <x:c r="L115" s="12"/>
      <x:c r="M115" s="13"/>
      <x:c r="N115" s="7" t="str">
        <x:v>Bisnis</x:v>
      </x:c>
      <x:c r="O115" s="12"/>
    </x:row>
    <x:row r="116" ht="84" customHeight="1">
      <x:c r="A116" s="11" t="str">
        <x:v>USER-UP-12</x:v>
      </x:c>
      <x:c r="B116" s="11" t="str">
        <x:v>User Upload</x:v>
      </x:c>
      <x:c r="C116" s="11" t="str">
        <x:v>P0</x:v>
      </x:c>
      <x:c r="D116" s="11" t="str">
        <x:v>Pending tidak dapat diaktifkan lewat Edit Akses</x:v>
      </x:c>
      <x:c r="E116" s="11" t="str">
        <x:v>Akun upload masih Pending.</x:v>
      </x:c>
      <x:c r="F116" s="11" t="str">
        <x:v>1. Coba ubah aktif melalui Edit Akses.
2. QA mencoba operasi bisnis akun target.</x:v>
      </x:c>
      <x:c r="G116" s="11" t="str">
        <x:v>Jalan pintas ditolak; akun menunggu keputusan Approval Request.</x:v>
      </x:c>
      <x:c r="H116" s="12"/>
      <x:c r="I116" s="12" t="str">
        <x:v>Not Run</x:v>
      </x:c>
      <x:c r="J116" s="12"/>
      <x:c r="K116" s="12"/>
      <x:c r="L116" s="12"/>
      <x:c r="M116" s="13"/>
      <x:c r="N116" s="11" t="str">
        <x:v>QA + bisnis</x:v>
      </x:c>
      <x:c r="O116" s="12"/>
    </x:row>
    <x:row r="117" ht="84" customHeight="1">
      <x:c r="A117" s="7" t="str">
        <x:v>OPS-06</x:v>
      </x:c>
      <x:c r="B117" s="7" t="str">
        <x:v>Timetable</x:v>
      </x:c>
      <x:c r="C117" s="7" t="str">
        <x:v>P0</x:v>
      </x:c>
      <x:c r="D117" s="7" t="str">
        <x:v>Not Achieved memblokir compile dan upload</x:v>
      </x:c>
      <x:c r="E117" s="7" t="str">
        <x:v>Pasangan depot–campaign dummy dan izin penandaan.</x:v>
      </x:c>
      <x:c r="F117" s="7" t="str">
        <x:v>1. Tandai Not Achieved.
2. Coba compile/upload pasangan tersebut.
3. Batalkan penandaan lalu ulang preview.</x:v>
      </x:c>
      <x:c r="G117" s="7" t="str">
        <x:v>Saat ditandai, operasi diblokir; pembatalan berizin memulihkan kelayakan sesuai aturan lain.</x:v>
      </x:c>
      <x:c r="H117" s="12"/>
      <x:c r="I117" s="12" t="str">
        <x:v>Not Run</x:v>
      </x:c>
      <x:c r="J117" s="12"/>
      <x:c r="K117" s="12"/>
      <x:c r="L117" s="12"/>
      <x:c r="M117" s="13"/>
      <x:c r="N117" s="7" t="str">
        <x:v>Bisnis</x:v>
      </x:c>
      <x:c r="O117" s="12"/>
    </x:row>
    <x:row r="118" ht="84" customHeight="1">
      <x:c r="A118" s="11" t="str">
        <x:v>ANALYTICS-01</x:v>
      </x:c>
      <x:c r="B118" s="11" t="str">
        <x:v>Analytics</x:v>
      </x:c>
      <x:c r="C118" s="11" t="str">
        <x:v>P1</x:v>
      </x:c>
      <x:c r="D118" s="11" t="str">
        <x:v>Details lengkap dan wrapped text</x:v>
      </x:c>
      <x:c r="E118" s="11" t="str">
        <x:v>Nama customer/campaign panjang; batch ganda; remark ganda.</x:v>
      </x:c>
      <x:c r="F118" s="11" t="str">
        <x:v>1. Buka Cashback List dan Details.
2. Periksa teks panjang, timestamp, batch, SO/Billing, remark, Process by.</x:v>
      </x:c>
      <x:c r="G118" s="11" t="str">
        <x:v>Teks terbaca tanpa tumpang tindih; batch dan kedua remark dapat dibaca; tahap asli dipertahankan.</x:v>
      </x:c>
      <x:c r="H118" s="12"/>
      <x:c r="I118" s="12" t="str">
        <x:v>Not Run</x:v>
      </x:c>
      <x:c r="J118" s="12"/>
      <x:c r="K118" s="12"/>
      <x:c r="L118" s="12"/>
      <x:c r="M118" s="13"/>
      <x:c r="N118" s="11" t="str">
        <x:v>Bisnis</x:v>
      </x:c>
      <x:c r="O118" s="12"/>
    </x:row>
    <x:row r="119" ht="84" customHeight="1">
      <x:c r="A119" s="7" t="str">
        <x:v>CONFIG-01</x:v>
      </x:c>
      <x:c r="B119" s="7" t="str">
        <x:v>Configuration</x:v>
      </x:c>
      <x:c r="C119" s="7" t="str">
        <x:v>P1</x:v>
      </x:c>
      <x:c r="D119" s="7" t="str">
        <x:v>Email Otomatis dan antrean</x:v>
      </x:c>
      <x:c r="E119" s="7" t="str">
        <x:v>Alamat email staging/test disepakati.</x:v>
      </x:c>
      <x:c r="F119" s="7" t="str">
        <x:v>1. Periksa jadwal dan tujuan.
2. Kirim Test Email ke alamat uji.
3. Periksa antrean serta kotak masuk.</x:v>
      </x:c>
      <x:c r="G119" s="7" t="str">
        <x:v>Tujuan dan isi benar; kegagalan jelas; tidak mengirim ke penerima operasional.</x:v>
      </x:c>
      <x:c r="H119" s="12"/>
      <x:c r="I119" s="12" t="str">
        <x:v>Not Run</x:v>
      </x:c>
      <x:c r="J119" s="12"/>
      <x:c r="K119" s="12"/>
      <x:c r="L119" s="12"/>
      <x:c r="M119" s="13"/>
      <x:c r="N119" s="7" t="str">
        <x:v>Bisnis</x:v>
      </x:c>
      <x:c r="O119" s="12"/>
    </x:row>
    <x:row r="120" ht="84" customHeight="1">
      <x:c r="A120" s="11" t="str">
        <x:v>CONFIG-02</x:v>
      </x:c>
      <x:c r="B120" s="11" t="str">
        <x:v>Configuration</x:v>
      </x:c>
      <x:c r="C120" s="11" t="str">
        <x:v>P1</x:v>
      </x:c>
      <x:c r="D120" s="11" t="str">
        <x:v>Exclude Campaign</x:v>
      </x:c>
      <x:c r="E120" s="11" t="str">
        <x:v>Campaign dummy ada pada report.</x:v>
      </x:c>
      <x:c r="F120" s="11" t="str">
        <x:v>1. Catat total; exclude campaign; refresh report.
2. Batalkan exclude dan periksa kembali.</x:v>
      </x:c>
      <x:c r="G120" s="11" t="str">
        <x:v>Agregat mengikuti perubahan yang diizinkan dan dapat ditelusuri melalui log.</x:v>
      </x:c>
      <x:c r="H120" s="12"/>
      <x:c r="I120" s="12" t="str">
        <x:v>Not Run</x:v>
      </x:c>
      <x:c r="J120" s="12"/>
      <x:c r="K120" s="12"/>
      <x:c r="L120" s="12"/>
      <x:c r="M120" s="13"/>
      <x:c r="N120" s="11" t="str">
        <x:v>Bisnis</x:v>
      </x:c>
      <x:c r="O120" s="12"/>
    </x:row>
    <x:row r="121" ht="84" customHeight="1">
      <x:c r="A121" s="7" t="str">
        <x:v>CONFIG-03</x:v>
      </x:c>
      <x:c r="B121" s="7" t="str">
        <x:v>Configuration</x:v>
      </x:c>
      <x:c r="C121" s="7" t="str">
        <x:v>P1</x:v>
      </x:c>
      <x:c r="D121" s="7" t="str">
        <x:v>Arsip Hapus dan pemulihan</x:v>
      </x:c>
      <x:c r="E121" s="7" t="str">
        <x:v>Entitas dummy memenuhi syarat arsip/pemulihan.</x:v>
      </x:c>
      <x:c r="F121" s="7" t="str">
        <x:v>1. Arsipkan dengan alasan.
2. Cari pada Arsip Hapus/Lihat Arsip.
3. Pulihkan sesuai izin dan periksa relasi.</x:v>
      </x:c>
      <x:c r="G121" s="7" t="str">
        <x:v>Entitas dan relasi konsisten; tindakan tidak menghapus histori terkait.</x:v>
      </x:c>
      <x:c r="H121" s="12"/>
      <x:c r="I121" s="12" t="str">
        <x:v>Not Run</x:v>
      </x:c>
      <x:c r="J121" s="12"/>
      <x:c r="K121" s="12"/>
      <x:c r="L121" s="12"/>
      <x:c r="M121" s="13"/>
      <x:c r="N121" s="7" t="str">
        <x:v>Bisnis</x:v>
      </x:c>
      <x:c r="O121" s="12"/>
    </x:row>
    <x:row r="122" ht="84" customHeight="1">
      <x:c r="A122" s="11" t="str">
        <x:v>CONFIG-04</x:v>
      </x:c>
      <x:c r="B122" s="11" t="str">
        <x:v>Configuration</x:v>
      </x:c>
      <x:c r="C122" s="11" t="str">
        <x:v>P1</x:v>
      </x:c>
      <x:c r="D122" s="11" t="str">
        <x:v>Grade Depot dan profil</x:v>
      </x:c>
      <x:c r="E122" s="11" t="str">
        <x:v>Depot dummy dan pengelola berwenang.</x:v>
      </x:c>
      <x:c r="F122" s="11" t="str">
        <x:v>1. Periksa Grade Depot.
2. Ajukan perubahan grade lewat Profil Depot.
3. Reviewer lain approve; refresh.</x:v>
      </x:c>
      <x:c r="G122" s="11" t="str">
        <x:v>Grade profil efektif berubah setelah approval dan konsisten dengan master.</x:v>
      </x:c>
      <x:c r="H122" s="12"/>
      <x:c r="I122" s="12" t="str">
        <x:v>Not Run</x:v>
      </x:c>
      <x:c r="J122" s="12"/>
      <x:c r="K122" s="12"/>
      <x:c r="L122" s="12"/>
      <x:c r="M122" s="13"/>
      <x:c r="N122" s="11" t="str">
        <x:v>Bisnis</x:v>
      </x:c>
      <x:c r="O122" s="12"/>
    </x:row>
  </x:sheetData>
  <x:conditionalFormatting sqref="I2:I122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Pass"/>
    <x:cfRule type="containsText" dxfId="3" priority="4" operator="containsText" text="In Progress"/>
  </x:conditionalFormatting>
  <x:dataValidations count="1">
    <x:dataValidation type="list" sqref="I2:I122">
      <x:formula1>"Not Run,In Progress,Pass,Fail,Blocked"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14da5a1c8848cc"/>
  </x:tableParts>
</x:worksheet>
</file>

<file path=xl/worksheets/sheet3.xml><?xml version="1.0" encoding="utf-8"?>
<x:worksheet xmlns:x="http://schemas.openxmlformats.org/spreadsheetml/2006/main">
  <x:sheetPr>
    <x:tabColor rgb="FFCC0022"/>
  </x:sheetPr>
  <x:sheetViews>
    <x:sheetView showGridLines="0" workbookViewId="0">
      <x:pane xSplit="3" ySplit="1" topLeftCell="D2" activePane="bottomRight" state="frozen"/>
    </x:sheetView>
  </x:sheetViews>
  <x:sheetFormatPr defaultRowHeight="14.399999618530273"/>
  <x:cols>
    <x:col min="1" max="1" width="17" hidden="0" customWidth="1"/>
    <x:col min="2" max="2" width="20" hidden="0" customWidth="1"/>
    <x:col min="3" max="3" width="60" hidden="0" customWidth="1"/>
    <x:col min="5" max="5" width="26" hidden="0" customWidth="1"/>
    <x:col min="6" max="6" width="25" hidden="0" customWidth="1"/>
    <x:col min="4" max="4" width="40" hidden="0" customWidth="1"/>
    <x:col min="7" max="7" width="45" hidden="0" customWidth="1"/>
  </x:cols>
  <x:sheetData>
    <x:row r="1" s="4" customFormat="1" ht="34" customHeight="1">
      <x:c r="A1" s="10" t="str">
        <x:v>Data ID</x:v>
      </x:c>
      <x:c r="B1" s="10" t="str">
        <x:v>Jenis</x:v>
      </x:c>
      <x:c r="C1" s="10" t="str">
        <x:v>Data dummy yang diperlukan</x:v>
      </x:c>
      <x:c r="D1" s="10" t="str">
        <x:v>Tujuan</x:v>
      </x:c>
      <x:c r="E1" s="10" t="str">
        <x:v>Owner</x:v>
      </x:c>
      <x:c r="F1" s="10" t="str">
        <x:v>Kesiapan</x:v>
      </x:c>
      <x:c r="G1" s="10" t="str">
        <x:v>ID fixture / bukti</x:v>
      </x:c>
    </x:row>
    <x:row r="2" ht="62" customHeight="1">
      <x:c r="A2" s="11" t="str">
        <x:v>TD-01</x:v>
      </x:c>
      <x:c r="B2" s="11" t="str">
        <x:v>Akun</x:v>
      </x:c>
      <x:c r="C2" s="11" t="str">
        <x:v>System Manager aktif</x:v>
      </x:c>
      <x:c r="D2" s="11" t="str">
        <x:v>Scope global dan approval</x:v>
      </x:c>
      <x:c r="E2" s="12" t="str">
        <x:v>UAT Owner</x:v>
      </x:c>
      <x:c r="F2" s="12" t="str">
        <x:v>Perlu konfirmasi</x:v>
      </x:c>
      <x:c r="G2" s="12"/>
    </x:row>
    <x:row r="3" ht="62" customHeight="1">
      <x:c r="A3" s="7" t="str">
        <x:v>TD-02</x:v>
      </x:c>
      <x:c r="B3" s="7" t="str">
        <x:v>Akun</x:v>
      </x:c>
      <x:c r="C3" s="7" t="str">
        <x:v>Supervisor scope terbatas</x:v>
      </x:c>
      <x:c r="D3" s="7" t="str">
        <x:v>Yurisdiksi dan People Performance</x:v>
      </x:c>
      <x:c r="E3" s="12" t="str">
        <x:v>UAT Owner</x:v>
      </x:c>
      <x:c r="F3" s="12" t="str">
        <x:v>Perlu konfirmasi</x:v>
      </x:c>
      <x:c r="G3" s="12"/>
    </x:row>
    <x:row r="4" ht="62" customHeight="1">
      <x:c r="A4" s="11" t="str">
        <x:v>TD-03</x:v>
      </x:c>
      <x:c r="B4" s="11" t="str">
        <x:v>Akun</x:v>
      </x:c>
      <x:c r="C4" s="11" t="str">
        <x:v>OSC aktif dengan depot assignment</x:v>
      </x:c>
      <x:c r="D4" s="11" t="str">
        <x:v>Tab OSC dan approval</x:v>
      </x:c>
      <x:c r="E4" s="12" t="str">
        <x:v>Business Tester</x:v>
      </x:c>
      <x:c r="F4" s="12" t="str">
        <x:v>Perlu konfirmasi</x:v>
      </x:c>
      <x:c r="G4" s="12"/>
    </x:row>
    <x:row r="5" ht="62" customHeight="1">
      <x:c r="A5" s="7" t="str">
        <x:v>TD-04</x:v>
      </x:c>
      <x:c r="B5" s="7" t="str">
        <x:v>Akun</x:v>
      </x:c>
      <x:c r="C5" s="7" t="str">
        <x:v>Viewer tanpa permission mutasi</x:v>
      </x:c>
      <x:c r="D5" s="7" t="str">
        <x:v>Uji read-only</x:v>
      </x:c>
      <x:c r="E5" s="12" t="str">
        <x:v>Business Tester</x:v>
      </x:c>
      <x:c r="F5" s="12" t="str">
        <x:v>Perlu konfirmasi</x:v>
      </x:c>
      <x:c r="G5" s="12"/>
    </x:row>
    <x:row r="6" ht="62" customHeight="1">
      <x:c r="A6" s="11" t="str">
        <x:v>TD-05</x:v>
      </x:c>
      <x:c r="B6" s="11" t="str">
        <x:v>Claim</x:v>
      </x:c>
      <x:c r="C6" s="11" t="str">
        <x:v>Transfer, CN, Rebate, RA07/RA7, Voucher</x:v>
      </x:c>
      <x:c r="D6" s="11" t="str">
        <x:v>Uji seluruh workflow</x:v>
      </x:c>
      <x:c r="E6" s="12" t="str">
        <x:v>Business Tester</x:v>
      </x:c>
      <x:c r="F6" s="12" t="str">
        <x:v>Perlu konfirmasi</x:v>
      </x:c>
      <x:c r="G6" s="12"/>
    </x:row>
    <x:row r="7" ht="62" customHeight="1">
      <x:c r="A7" s="7" t="str">
        <x:v>TD-06</x:v>
      </x:c>
      <x:c r="B7" s="7" t="str">
        <x:v>Claim</x:v>
      </x:c>
      <x:c r="C7" s="7" t="str">
        <x:v>Status Not Yet sampai Done/Expired</x:v>
      </x:c>
      <x:c r="D7" s="7" t="str">
        <x:v>Uji status dan grouping</x:v>
      </x:c>
      <x:c r="E7" s="12" t="str">
        <x:v>Business Tester</x:v>
      </x:c>
      <x:c r="F7" s="12" t="str">
        <x:v>Perlu konfirmasi</x:v>
      </x:c>
      <x:c r="G7" s="12"/>
    </x:row>
    <x:row r="8" ht="62" customHeight="1">
      <x:c r="A8" s="11" t="str">
        <x:v>TD-07</x:v>
      </x:c>
      <x:c r="B8" s="11" t="str">
        <x:v>People</x:v>
      </x:c>
      <x:c r="C8" s="11" t="str">
        <x:v>Supervisor -&gt; OSC -&gt; beberapa depot</x:v>
      </x:c>
      <x:c r="D8" s="11" t="str">
        <x:v>Uji mapping dan depot unik</x:v>
      </x:c>
      <x:c r="E8" s="12" t="str">
        <x:v>UAT Owner</x:v>
      </x:c>
      <x:c r="F8" s="12" t="str">
        <x:v>Perlu konfirmasi</x:v>
      </x:c>
      <x:c r="G8" s="12"/>
    </x:row>
    <x:row r="9" ht="62" customHeight="1">
      <x:c r="A9" s="7" t="str">
        <x:v>TD-08</x:v>
      </x:c>
      <x:c r="B9" s="7" t="str">
        <x:v>People</x:v>
      </x:c>
      <x:c r="C9" s="7" t="str">
        <x:v>History Unknown dan range 366 hari</x:v>
      </x:c>
      <x:c r="D9" s="7" t="str">
        <x:v>Uji history</x:v>
      </x:c>
      <x:c r="E9" s="12" t="str">
        <x:v>UAT Owner</x:v>
      </x:c>
      <x:c r="F9" s="12" t="str">
        <x:v>Perlu konfirmasi</x:v>
      </x:c>
      <x:c r="G9" s="12"/>
    </x:row>
    <x:row r="10" ht="62" customHeight="1">
      <x:c r="A10" s="11" t="str">
        <x:v>TD-09</x:v>
      </x:c>
      <x:c r="B10" s="11" t="str">
        <x:v>Upload</x:v>
      </x:c>
      <x:c r="C10" s="11" t="str">
        <x:v>Valid, duplikat, 501 baris, PIN invalid</x:v>
      </x:c>
      <x:c r="D10" s="11" t="str">
        <x:v>Uji preview/limit</x:v>
      </x:c>
      <x:c r="E10" s="12" t="str">
        <x:v>Business Tester</x:v>
      </x:c>
      <x:c r="F10" s="12" t="str">
        <x:v>Perlu konfirmasi</x:v>
      </x:c>
      <x:c r="G10" s="12"/>
    </x:row>
    <x:row r="11" ht="62" customHeight="1">
      <x:c r="A11" s="7" t="str">
        <x:v>TD-10</x:v>
      </x:c>
      <x:c r="B11" s="7" t="str">
        <x:v>Security</x:v>
      </x:c>
      <x:c r="C11" s="7" t="str">
        <x:v>Nama/campaign/log dengan HTML/script</x:v>
      </x:c>
      <x:c r="D11" s="7" t="str">
        <x:v>Uji escaping</x:v>
      </x:c>
      <x:c r="E11" s="12" t="str">
        <x:v>Security Reviewer</x:v>
      </x:c>
      <x:c r="F11" s="12" t="str">
        <x:v>Perlu konfirmasi</x:v>
      </x:c>
      <x:c r="G11" s="12"/>
    </x:row>
    <x:row r="12" ht="62" customHeight="1">
      <x:c r="A12" s="11" t="str">
        <x:v>TD-11</x:v>
      </x:c>
      <x:c r="B12" s="11" t="str">
        <x:v>Campaign</x:v>
      </x:c>
      <x:c r="C12" s="11" t="str">
        <x:v>SO Jan–Mar 2026; Billing Feb–Apr 2026, plus lintas tahun dan tanggal kosong</x:v>
      </x:c>
      <x:c r="D12" s="11" t="str">
        <x:v>Periode campaign / Report</x:v>
      </x:c>
      <x:c r="E12" s="12" t="str">
        <x:v>UAT Owner</x:v>
      </x:c>
      <x:c r="F12" s="12" t="str">
        <x:v>Perlu konfirmasi</x:v>
      </x:c>
      <x:c r="G12" s="12"/>
    </x:row>
    <x:row r="13" ht="62" customHeight="1">
      <x:c r="A13" s="7" t="str">
        <x:v>TD-12</x:v>
      </x:c>
      <x:c r="B13" s="7" t="str">
        <x:v>Compile</x:v>
      </x:c>
      <x:c r="C13" s="7" t="str">
        <x:v>2.000 dan 2.001 baris unik dengan relasi master sah</x:v>
      </x:c>
      <x:c r="D13" s="7" t="str">
        <x:v>Batas compile</x:v>
      </x:c>
      <x:c r="E13" s="12" t="str">
        <x:v>QA</x:v>
      </x:c>
      <x:c r="F13" s="12" t="str">
        <x:v>Perlu konfirmasi</x:v>
      </x:c>
      <x:c r="G13" s="12"/>
    </x:row>
    <x:row r="14" ht="62" customHeight="1">
      <x:c r="A14" s="11" t="str">
        <x:v>TD-13</x:v>
      </x:c>
      <x:c r="B14" s="11" t="str">
        <x:v>Email</x:v>
      </x:c>
      <x:c r="C14" s="11" t="str">
        <x:v>Alamat inbox khusus uji</x:v>
      </x:c>
      <x:c r="D14" s="11" t="str">
        <x:v>Email otomatis dan antrean</x:v>
      </x:c>
      <x:c r="E14" s="12" t="str">
        <x:v>UAT Owner</x:v>
      </x:c>
      <x:c r="F14" s="12" t="str">
        <x:v>Perlu konfirmasi</x:v>
      </x:c>
      <x:c r="G14" s="12"/>
    </x:row>
  </x:sheetData>
  <x:dataValidations count="1">
    <x:dataValidation type="list" sqref="F2:F14">
      <x:formula1>"Perlu konfirmasi,Siap,Blocked,Selesai dibersihkan"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a43b0d54424b0d"/>
  </x:tableParts>
</x:worksheet>
</file>

<file path=xl/worksheets/sheet4.xml><?xml version="1.0" encoding="utf-8"?>
<x:worksheet xmlns:x="http://schemas.openxmlformats.org/spreadsheetml/2006/main">
  <x:sheetPr>
    <x:tabColor rgb="FFCC0022"/>
  </x:sheetPr>
  <x:sheetViews>
    <x:sheetView showGridLines="0" workbookViewId="0">
      <x:pane xSplit="3" ySplit="1" topLeftCell="D2" activePane="bottomRight" state="frozen"/>
    </x:sheetView>
  </x:sheetViews>
  <x:sheetFormatPr defaultRowHeight="14.399999618530273"/>
  <x:cols>
    <x:col min="1" max="1" width="19" hidden="0" customWidth="1"/>
    <x:col min="2" max="2" width="21" hidden="0" customWidth="1"/>
    <x:col min="3" max="3" width="20" hidden="0" customWidth="1"/>
    <x:col min="4" max="4" width="17" hidden="0" customWidth="1"/>
    <x:col min="5" max="5" width="66" hidden="0" customWidth="1"/>
    <x:col min="6" max="6" width="32" hidden="0" customWidth="1"/>
    <x:col min="7" max="7" width="24" hidden="0" customWidth="1"/>
    <x:col min="8" max="8" width="22" hidden="0" customWidth="1"/>
    <x:col min="9" max="9" width="22" hidden="0" customWidth="1"/>
    <x:col min="10" max="10" width="46" hidden="0" customWidth="1"/>
    <x:col min="11" max="11" width="38" hidden="0" customWidth="1"/>
    <x:col min="12" max="12" width="21" hidden="0" customWidth="1"/>
    <x:col min="13" max="13" width="44" hidden="0" customWidth="1"/>
  </x:cols>
  <x:sheetData>
    <x:row r="1" s="4" customFormat="1" ht="34" customHeight="1">
      <x:c r="A1" s="10" t="str">
        <x:v>Defect ID</x:v>
      </x:c>
      <x:c r="B1" s="10" t="str">
        <x:v>Tanggal temuan</x:v>
      </x:c>
      <x:c r="C1" s="10" t="str">
        <x:v>Test Case ID</x:v>
      </x:c>
      <x:c r="D1" s="10" t="str">
        <x:v>Severity</x:v>
      </x:c>
      <x:c r="E1" s="10" t="str">
        <x:v>Uraian dan langkah reproduksi</x:v>
      </x:c>
      <x:c r="F1" s="10" t="str">
        <x:v>Environment / build</x:v>
      </x:c>
      <x:c r="G1" s="10" t="str">
        <x:v>Owner</x:v>
      </x:c>
      <x:c r="H1" s="10" t="str">
        <x:v>Status defect</x:v>
      </x:c>
      <x:c r="I1" s="10" t="str">
        <x:v>Target perbaikan</x:v>
      </x:c>
      <x:c r="J1" s="10" t="str">
        <x:v>Hasil retest</x:v>
      </x:c>
      <x:c r="K1" s="10" t="str">
        <x:v>Bukti</x:v>
      </x:c>
      <x:c r="L1" s="10" t="str">
        <x:v>Tanggal retest</x:v>
      </x:c>
      <x:c r="M1" s="10" t="str">
        <x:v>Catatan</x:v>
      </x:c>
    </x:row>
    <x:row r="2" ht="64" customHeight="1">
      <x:c r="A2" s="11" t="str">
        <x:v>DEF-001</x:v>
      </x:c>
      <x:c r="B2" s="13"/>
      <x:c r="C2" s="12"/>
      <x:c r="D2" s="12"/>
      <x:c r="E2" s="12"/>
      <x:c r="F2" s="12"/>
      <x:c r="G2" s="12"/>
      <x:c r="H2" s="12"/>
      <x:c r="I2" s="13"/>
      <x:c r="J2" s="12"/>
      <x:c r="K2" s="12"/>
      <x:c r="L2" s="13"/>
      <x:c r="M2" s="12"/>
    </x:row>
    <x:row r="3" ht="64" customHeight="1">
      <x:c r="A3" s="7" t="str">
        <x:v>DEF-002</x:v>
      </x:c>
      <x:c r="B3" s="13"/>
      <x:c r="C3" s="12"/>
      <x:c r="D3" s="12"/>
      <x:c r="E3" s="12"/>
      <x:c r="F3" s="12"/>
      <x:c r="G3" s="12"/>
      <x:c r="H3" s="12"/>
      <x:c r="I3" s="13"/>
      <x:c r="J3" s="12"/>
      <x:c r="K3" s="12"/>
      <x:c r="L3" s="13"/>
      <x:c r="M3" s="12"/>
    </x:row>
    <x:row r="4" ht="64" customHeight="1">
      <x:c r="A4" s="11" t="str">
        <x:v>DEF-003</x:v>
      </x:c>
      <x:c r="B4" s="13"/>
      <x:c r="C4" s="12"/>
      <x:c r="D4" s="12"/>
      <x:c r="E4" s="12"/>
      <x:c r="F4" s="12"/>
      <x:c r="G4" s="12"/>
      <x:c r="H4" s="12"/>
      <x:c r="I4" s="13"/>
      <x:c r="J4" s="12"/>
      <x:c r="K4" s="12"/>
      <x:c r="L4" s="13"/>
      <x:c r="M4" s="12"/>
    </x:row>
    <x:row r="5" ht="64" customHeight="1">
      <x:c r="A5" s="7"/>
      <x:c r="B5" s="13"/>
      <x:c r="C5" s="12"/>
      <x:c r="D5" s="12"/>
      <x:c r="E5" s="12"/>
      <x:c r="F5" s="12"/>
      <x:c r="G5" s="12"/>
      <x:c r="H5" s="12"/>
      <x:c r="I5" s="13"/>
      <x:c r="J5" s="12"/>
      <x:c r="K5" s="12"/>
      <x:c r="L5" s="13"/>
      <x:c r="M5" s="12"/>
    </x:row>
    <x:row r="6" ht="64" customHeight="1">
      <x:c r="A6" s="11"/>
      <x:c r="B6" s="13"/>
      <x:c r="C6" s="12"/>
      <x:c r="D6" s="12"/>
      <x:c r="E6" s="12"/>
      <x:c r="F6" s="12"/>
      <x:c r="G6" s="12"/>
      <x:c r="H6" s="12"/>
      <x:c r="I6" s="13"/>
      <x:c r="J6" s="12"/>
      <x:c r="K6" s="12"/>
      <x:c r="L6" s="13"/>
      <x:c r="M6" s="12"/>
    </x:row>
    <x:row r="7" ht="64" customHeight="1">
      <x:c r="A7" s="7"/>
      <x:c r="B7" s="13"/>
      <x:c r="C7" s="12"/>
      <x:c r="D7" s="12"/>
      <x:c r="E7" s="12"/>
      <x:c r="F7" s="12"/>
      <x:c r="G7" s="12"/>
      <x:c r="H7" s="12"/>
      <x:c r="I7" s="13"/>
      <x:c r="J7" s="12"/>
      <x:c r="K7" s="12"/>
      <x:c r="L7" s="13"/>
      <x:c r="M7" s="12"/>
    </x:row>
    <x:row r="8" ht="64" customHeight="1">
      <x:c r="A8" s="11"/>
      <x:c r="B8" s="13"/>
      <x:c r="C8" s="12"/>
      <x:c r="D8" s="12"/>
      <x:c r="E8" s="12"/>
      <x:c r="F8" s="12"/>
      <x:c r="G8" s="12"/>
      <x:c r="H8" s="12"/>
      <x:c r="I8" s="13"/>
      <x:c r="J8" s="12"/>
      <x:c r="K8" s="12"/>
      <x:c r="L8" s="13"/>
      <x:c r="M8" s="12"/>
    </x:row>
    <x:row r="9" ht="64" customHeight="1">
      <x:c r="A9" s="7"/>
      <x:c r="B9" s="13"/>
      <x:c r="C9" s="12"/>
      <x:c r="D9" s="12"/>
      <x:c r="E9" s="12"/>
      <x:c r="F9" s="12"/>
      <x:c r="G9" s="12"/>
      <x:c r="H9" s="12"/>
      <x:c r="I9" s="13"/>
      <x:c r="J9" s="12"/>
      <x:c r="K9" s="12"/>
      <x:c r="L9" s="13"/>
      <x:c r="M9" s="12"/>
    </x:row>
    <x:row r="10" ht="64" customHeight="1">
      <x:c r="A10" s="11"/>
      <x:c r="B10" s="13"/>
      <x:c r="C10" s="12"/>
      <x:c r="D10" s="12"/>
      <x:c r="E10" s="12"/>
      <x:c r="F10" s="12"/>
      <x:c r="G10" s="12"/>
      <x:c r="H10" s="12"/>
      <x:c r="I10" s="13"/>
      <x:c r="J10" s="12"/>
      <x:c r="K10" s="12"/>
      <x:c r="L10" s="13"/>
      <x:c r="M10" s="12"/>
    </x:row>
    <x:row r="11" ht="64" customHeight="1">
      <x:c r="A11" s="7"/>
      <x:c r="B11" s="13"/>
      <x:c r="C11" s="12"/>
      <x:c r="D11" s="12"/>
      <x:c r="E11" s="12"/>
      <x:c r="F11" s="12"/>
      <x:c r="G11" s="12"/>
      <x:c r="H11" s="12"/>
      <x:c r="I11" s="13"/>
      <x:c r="J11" s="12"/>
      <x:c r="K11" s="12"/>
      <x:c r="L11" s="13"/>
      <x:c r="M11" s="12"/>
    </x:row>
    <x:row r="12" ht="64" customHeight="1">
      <x:c r="A12" s="11"/>
      <x:c r="B12" s="13"/>
      <x:c r="C12" s="12"/>
      <x:c r="D12" s="12"/>
      <x:c r="E12" s="12"/>
      <x:c r="F12" s="12"/>
      <x:c r="G12" s="12"/>
      <x:c r="H12" s="12"/>
      <x:c r="I12" s="13"/>
      <x:c r="J12" s="12"/>
      <x:c r="K12" s="12"/>
      <x:c r="L12" s="13"/>
      <x:c r="M12" s="12"/>
    </x:row>
    <x:row r="13" ht="64" customHeight="1">
      <x:c r="A13" s="7"/>
      <x:c r="B13" s="13"/>
      <x:c r="C13" s="12"/>
      <x:c r="D13" s="12"/>
      <x:c r="E13" s="12"/>
      <x:c r="F13" s="12"/>
      <x:c r="G13" s="12"/>
      <x:c r="H13" s="12"/>
      <x:c r="I13" s="13"/>
      <x:c r="J13" s="12"/>
      <x:c r="K13" s="12"/>
      <x:c r="L13" s="13"/>
      <x:c r="M13" s="12"/>
    </x:row>
    <x:row r="14" ht="64" customHeight="1">
      <x:c r="A14" s="11"/>
      <x:c r="B14" s="13"/>
      <x:c r="C14" s="12"/>
      <x:c r="D14" s="12"/>
      <x:c r="E14" s="12"/>
      <x:c r="F14" s="12"/>
      <x:c r="G14" s="12"/>
      <x:c r="H14" s="12"/>
      <x:c r="I14" s="13"/>
      <x:c r="J14" s="12"/>
      <x:c r="K14" s="12"/>
      <x:c r="L14" s="13"/>
      <x:c r="M14" s="12"/>
    </x:row>
    <x:row r="15" ht="64" customHeight="1">
      <x:c r="A15" s="7"/>
      <x:c r="B15" s="13"/>
      <x:c r="C15" s="12"/>
      <x:c r="D15" s="12"/>
      <x:c r="E15" s="12"/>
      <x:c r="F15" s="12"/>
      <x:c r="G15" s="12"/>
      <x:c r="H15" s="12"/>
      <x:c r="I15" s="13"/>
      <x:c r="J15" s="12"/>
      <x:c r="K15" s="12"/>
      <x:c r="L15" s="13"/>
      <x:c r="M15" s="12"/>
    </x:row>
    <x:row r="16" ht="64" customHeight="1">
      <x:c r="A16" s="11"/>
      <x:c r="B16" s="13"/>
      <x:c r="C16" s="12"/>
      <x:c r="D16" s="12"/>
      <x:c r="E16" s="12"/>
      <x:c r="F16" s="12"/>
      <x:c r="G16" s="12"/>
      <x:c r="H16" s="12"/>
      <x:c r="I16" s="13"/>
      <x:c r="J16" s="12"/>
      <x:c r="K16" s="12"/>
      <x:c r="L16" s="13"/>
      <x:c r="M16" s="12"/>
    </x:row>
    <x:row r="17" ht="64" customHeight="1">
      <x:c r="A17" s="7"/>
      <x:c r="B17" s="13"/>
      <x:c r="C17" s="12"/>
      <x:c r="D17" s="12"/>
      <x:c r="E17" s="12"/>
      <x:c r="F17" s="12"/>
      <x:c r="G17" s="12"/>
      <x:c r="H17" s="12"/>
      <x:c r="I17" s="13"/>
      <x:c r="J17" s="12"/>
      <x:c r="K17" s="12"/>
      <x:c r="L17" s="13"/>
      <x:c r="M17" s="12"/>
    </x:row>
    <x:row r="18" ht="64" customHeight="1">
      <x:c r="A18" s="11"/>
      <x:c r="B18" s="13"/>
      <x:c r="C18" s="12"/>
      <x:c r="D18" s="12"/>
      <x:c r="E18" s="12"/>
      <x:c r="F18" s="12"/>
      <x:c r="G18" s="12"/>
      <x:c r="H18" s="12"/>
      <x:c r="I18" s="13"/>
      <x:c r="J18" s="12"/>
      <x:c r="K18" s="12"/>
      <x:c r="L18" s="13"/>
      <x:c r="M18" s="12"/>
    </x:row>
    <x:row r="19" ht="64" customHeight="1">
      <x:c r="A19" s="7"/>
      <x:c r="B19" s="13"/>
      <x:c r="C19" s="12"/>
      <x:c r="D19" s="12"/>
      <x:c r="E19" s="12"/>
      <x:c r="F19" s="12"/>
      <x:c r="G19" s="12"/>
      <x:c r="H19" s="12"/>
      <x:c r="I19" s="13"/>
      <x:c r="J19" s="12"/>
      <x:c r="K19" s="12"/>
      <x:c r="L19" s="13"/>
      <x:c r="M19" s="12"/>
    </x:row>
    <x:row r="20" ht="64" customHeight="1">
      <x:c r="A20" s="11"/>
      <x:c r="B20" s="13"/>
      <x:c r="C20" s="12"/>
      <x:c r="D20" s="12"/>
      <x:c r="E20" s="12"/>
      <x:c r="F20" s="12"/>
      <x:c r="G20" s="12"/>
      <x:c r="H20" s="12"/>
      <x:c r="I20" s="13"/>
      <x:c r="J20" s="12"/>
      <x:c r="K20" s="12"/>
      <x:c r="L20" s="13"/>
      <x:c r="M20" s="12"/>
    </x:row>
    <x:row r="21" ht="64" customHeight="1">
      <x:c r="A21" s="7"/>
      <x:c r="B21" s="13"/>
      <x:c r="C21" s="12"/>
      <x:c r="D21" s="12"/>
      <x:c r="E21" s="12"/>
      <x:c r="F21" s="12"/>
      <x:c r="G21" s="12"/>
      <x:c r="H21" s="12"/>
      <x:c r="I21" s="13"/>
      <x:c r="J21" s="12"/>
      <x:c r="K21" s="12"/>
      <x:c r="L21" s="13"/>
      <x:c r="M21" s="12"/>
    </x:row>
  </x:sheetData>
  <x:dataValidations count="2">
    <x:dataValidation type="list" sqref="D2:D21">
      <x:formula1>"Critical,High,Medium,Low"</x:formula1>
    </x:dataValidation>
    <x:dataValidation type="list" sqref="H2:H21">
      <x:formula1>"Open,In Progress,Ready for Retest,Closed,Reopened,Deferred"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406213e23f41ff"/>
  </x:tableParts>
</x:worksheet>
</file>

<file path=xl/worksheets/sheet5.xml><?xml version="1.0" encoding="utf-8"?>
<x:worksheet xmlns:x="http://schemas.openxmlformats.org/spreadsheetml/2006/main">
  <x:sheetPr>
    <x:tabColor rgb="FFCC0022"/>
  </x:sheetPr>
  <x:sheetViews>
    <x:sheetView showGridLines="0" workbookViewId="0">
      <x:pane xSplit="3" ySplit="1" topLeftCell="D2" activePane="bottomRight" state="frozen"/>
    </x:sheetView>
  </x:sheetViews>
  <x:sheetFormatPr defaultRowHeight="14.399999618530273"/>
  <x:cols>
    <x:col min="1" max="1" width="46" hidden="0" customWidth="1"/>
    <x:col min="2" max="2" width="27" hidden="0" customWidth="1"/>
    <x:col min="3" max="3" width="25" hidden="0" customWidth="1"/>
    <x:col min="4" max="4" width="21" hidden="0" customWidth="1"/>
    <x:col min="5" max="5" width="22" hidden="0" customWidth="1"/>
    <x:col min="6" max="6" width="29" hidden="0" customWidth="1"/>
    <x:col min="7" max="7" width="46" hidden="0" customWidth="1"/>
    <x:col min="8" max="8" width="36" hidden="0" customWidth="1"/>
    <x:col min="9" max="9" width="54" hidden="0" customWidth="1"/>
  </x:cols>
  <x:sheetData>
    <x:row r="1" s="4" customFormat="1" ht="34" customHeight="1">
      <x:c r="A1" s="10" t="str">
        <x:v>Area</x:v>
      </x:c>
      <x:c r="B1" s="10" t="str">
        <x:v>Business Owner</x:v>
      </x:c>
      <x:c r="C1" s="10" t="str">
        <x:v>Tester</x:v>
      </x:c>
      <x:c r="D1" s="10" t="str">
        <x:v>Tanggal review</x:v>
      </x:c>
      <x:c r="E1" s="10" t="str">
        <x:v>Keputusan</x:v>
      </x:c>
      <x:c r="F1" s="10" t="str">
        <x:v>Defect terbuka</x:v>
      </x:c>
      <x:c r="G1" s="10" t="str">
        <x:v>Bukti / ringkasan</x:v>
      </x:c>
      <x:c r="H1" s="10" t="str">
        <x:v>Persetujuan / tanda tangan</x:v>
      </x:c>
      <x:c r="I1" s="10" t="str">
        <x:v>Catatan dan batasan</x:v>
      </x:c>
    </x:row>
    <x:row r="2" ht="62" customHeight="1">
      <x:c r="A2" s="11" t="str">
        <x:v>Auth &amp; Session</x:v>
      </x:c>
      <x:c r="B2" s="12"/>
      <x:c r="C2" s="12"/>
      <x:c r="D2" s="13"/>
      <x:c r="E2" s="12" t="str">
        <x:v>Not Run</x:v>
      </x:c>
      <x:c r="F2" s="12"/>
      <x:c r="G2" s="12"/>
      <x:c r="H2" s="12"/>
      <x:c r="I2" s="12"/>
    </x:row>
    <x:row r="3" ht="62" customHeight="1">
      <x:c r="A3" s="7" t="str">
        <x:v>Access Management &amp; Registrasi</x:v>
      </x:c>
      <x:c r="B3" s="12"/>
      <x:c r="C3" s="12"/>
      <x:c r="D3" s="13"/>
      <x:c r="E3" s="12" t="str">
        <x:v>Not Run</x:v>
      </x:c>
      <x:c r="F3" s="12"/>
      <x:c r="G3" s="12"/>
      <x:c r="H3" s="12"/>
      <x:c r="I3" s="12"/>
    </x:row>
    <x:row r="4" ht="62" customHeight="1">
      <x:c r="A4" s="11" t="str">
        <x:v>Claim Upload &amp; Approval</x:v>
      </x:c>
      <x:c r="B4" s="12"/>
      <x:c r="C4" s="12"/>
      <x:c r="D4" s="13"/>
      <x:c r="E4" s="12" t="str">
        <x:v>Not Run</x:v>
      </x:c>
      <x:c r="F4" s="12"/>
      <x:c r="G4" s="12"/>
      <x:c r="H4" s="12"/>
      <x:c r="I4" s="12"/>
    </x:row>
    <x:row r="5" ht="62" customHeight="1">
      <x:c r="A5" s="7" t="str">
        <x:v>Workflow Release/Claim/Clearing</x:v>
      </x:c>
      <x:c r="B5" s="12"/>
      <x:c r="C5" s="12"/>
      <x:c r="D5" s="13"/>
      <x:c r="E5" s="12" t="str">
        <x:v>Not Run</x:v>
      </x:c>
      <x:c r="F5" s="12"/>
      <x:c r="G5" s="12"/>
      <x:c r="H5" s="12"/>
      <x:c r="I5" s="12"/>
    </x:row>
    <x:row r="6" ht="62" customHeight="1">
      <x:c r="A6" s="11" t="str">
        <x:v>Master Data &amp; Profil Depot</x:v>
      </x:c>
      <x:c r="B6" s="12"/>
      <x:c r="C6" s="12"/>
      <x:c r="D6" s="13"/>
      <x:c r="E6" s="12" t="str">
        <x:v>Not Run</x:v>
      </x:c>
      <x:c r="F6" s="12"/>
      <x:c r="G6" s="12"/>
      <x:c r="H6" s="12"/>
      <x:c r="I6" s="12"/>
    </x:row>
    <x:row r="7" ht="62" customHeight="1">
      <x:c r="A7" s="7" t="str">
        <x:v>Report/Analytics/Dashboard/Export</x:v>
      </x:c>
      <x:c r="B7" s="12"/>
      <x:c r="C7" s="12"/>
      <x:c r="D7" s="13"/>
      <x:c r="E7" s="12" t="str">
        <x:v>Not Run</x:v>
      </x:c>
      <x:c r="F7" s="12"/>
      <x:c r="G7" s="12"/>
      <x:c r="H7" s="12"/>
      <x:c r="I7" s="12"/>
    </x:row>
    <x:row r="8" ht="62" customHeight="1">
      <x:c r="A8" s="11" t="str">
        <x:v>Timetable &amp; Log Activity</x:v>
      </x:c>
      <x:c r="B8" s="12"/>
      <x:c r="C8" s="12"/>
      <x:c r="D8" s="13"/>
      <x:c r="E8" s="12" t="str">
        <x:v>Not Run</x:v>
      </x:c>
      <x:c r="F8" s="12"/>
      <x:c r="G8" s="12"/>
      <x:c r="H8" s="12"/>
      <x:c r="I8" s="12"/>
    </x:row>
    <x:row r="9" ht="62" customHeight="1">
      <x:c r="A9" s="7" t="str">
        <x:v>People Performance</x:v>
      </x:c>
      <x:c r="B9" s="12"/>
      <x:c r="C9" s="12"/>
      <x:c r="D9" s="13"/>
      <x:c r="E9" s="12" t="str">
        <x:v>Not Run</x:v>
      </x:c>
      <x:c r="F9" s="12"/>
      <x:c r="G9" s="12"/>
      <x:c r="H9" s="12"/>
      <x:c r="I9" s="12"/>
    </x:row>
    <x:row r="10" ht="62" customHeight="1">
      <x:c r="A10" s="11" t="str">
        <x:v>Security &amp; Data Privacy</x:v>
      </x:c>
      <x:c r="B10" s="12"/>
      <x:c r="C10" s="12"/>
      <x:c r="D10" s="13"/>
      <x:c r="E10" s="12" t="str">
        <x:v>Not Run</x:v>
      </x:c>
      <x:c r="F10" s="12"/>
      <x:c r="G10" s="12"/>
      <x:c r="H10" s="12"/>
      <x:c r="I10" s="12"/>
    </x:row>
    <x:row r="11" ht="62" customHeight="1">
      <x:c r="A11" s="7" t="str">
        <x:v>Visual Desktop/Mobile</x:v>
      </x:c>
      <x:c r="B11" s="12"/>
      <x:c r="C11" s="12"/>
      <x:c r="D11" s="13"/>
      <x:c r="E11" s="12" t="str">
        <x:v>Not Run</x:v>
      </x:c>
      <x:c r="F11" s="12"/>
      <x:c r="G11" s="12"/>
      <x:c r="H11" s="12"/>
      <x:c r="I11" s="12"/>
    </x:row>
    <x:row r="12" ht="62" customHeight="1">
      <x:c r="A12" s="11" t="str">
        <x:v>Campaign SO/Billing dan sinkronisasi</x:v>
      </x:c>
      <x:c r="B12" s="12"/>
      <x:c r="C12" s="12"/>
      <x:c r="D12" s="13"/>
      <x:c r="E12" s="12" t="str">
        <x:v>Not Run</x:v>
      </x:c>
      <x:c r="F12" s="12"/>
      <x:c r="G12" s="12"/>
      <x:c r="H12" s="12"/>
      <x:c r="I12" s="12"/>
    </x:row>
    <x:row r="13" ht="62" customHeight="1">
      <x:c r="A13" s="7" t="str">
        <x:v>Document Center dan pengaturan pendukung</x:v>
      </x:c>
      <x:c r="B13" s="12"/>
      <x:c r="C13" s="12"/>
      <x:c r="D13" s="13"/>
      <x:c r="E13" s="12" t="str">
        <x:v>Not Run</x:v>
      </x:c>
      <x:c r="F13" s="12"/>
      <x:c r="G13" s="12"/>
      <x:c r="H13" s="12"/>
      <x:c r="I13" s="12"/>
    </x:row>
    <x:row r="14" ht="62" customHeight="1">
      <x:c r="A14" s="11" t="str">
        <x:v>Overall Go / No-Go</x:v>
      </x:c>
      <x:c r="B14" s="12"/>
      <x:c r="C14" s="12"/>
      <x:c r="D14" s="13"/>
      <x:c r="E14" s="12" t="str">
        <x:v>Not Run</x:v>
      </x:c>
      <x:c r="F14" s="12"/>
      <x:c r="G14" s="12"/>
      <x:c r="H14" s="12"/>
      <x:c r="I14" s="12"/>
    </x:row>
  </x:sheetData>
  <x:dataValidations count="1">
    <x:dataValidation type="list" sqref="E2:E14">
      <x:formula1>"Not Run,In Review,Accepted,Accepted with Conditions,Not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add8fa40674bd5"/>
  </x:tableParts>
</x:worksheet>
</file>