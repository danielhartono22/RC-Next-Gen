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NIEL\RC Next Gen\docs\"/>
    </mc:Choice>
  </mc:AlternateContent>
  <bookViews>
    <workbookView xWindow="0" yWindow="0" windowWidth="23040" windowHeight="8976" activeTab="2"/>
  </bookViews>
  <sheets>
    <sheet name="Temuan" sheetId="17" r:id="rId1"/>
    <sheet name="Persiapan" sheetId="16" r:id="rId2"/>
    <sheet name="Persetujuan" sheetId="18" r:id="rId3"/>
    <sheet name="User" sheetId="19" r:id="rId4"/>
    <sheet name="Summary" sheetId="1" r:id="rId5"/>
    <sheet name="Tahap 0" sheetId="2" r:id="rId6"/>
    <sheet name="Tahap 1" sheetId="3" r:id="rId7"/>
    <sheet name="Tahap 2" sheetId="4" r:id="rId8"/>
    <sheet name="Tahap 3" sheetId="5" r:id="rId9"/>
    <sheet name="Tahap 4" sheetId="6" r:id="rId10"/>
    <sheet name="Tahap 5" sheetId="7" r:id="rId11"/>
    <sheet name="Tahap 6" sheetId="8" r:id="rId12"/>
    <sheet name="Tahap 7" sheetId="9" r:id="rId13"/>
    <sheet name="Tahap 8" sheetId="10" r:id="rId14"/>
    <sheet name="Tahap 9" sheetId="11" r:id="rId15"/>
    <sheet name="Tahap 10" sheetId="12" r:id="rId16"/>
    <sheet name="Tahap 11" sheetId="13" r:id="rId17"/>
    <sheet name="Tahap 12" sheetId="14" r:id="rId18"/>
    <sheet name="Tahap 13" sheetId="15" r:id="rId19"/>
  </sheets>
  <calcPr calcId="152511"/>
</workbook>
</file>

<file path=xl/calcChain.xml><?xml version="1.0" encoding="utf-8"?>
<calcChain xmlns="http://schemas.openxmlformats.org/spreadsheetml/2006/main">
  <c r="E5" i="15" l="1"/>
  <c r="E4" i="15"/>
  <c r="E3" i="15"/>
  <c r="E5" i="14"/>
  <c r="E4" i="14"/>
  <c r="E3" i="14"/>
  <c r="E5" i="13"/>
  <c r="E4" i="13"/>
  <c r="E3" i="13"/>
  <c r="E5" i="12"/>
  <c r="E4" i="12"/>
  <c r="E3" i="12"/>
  <c r="E5" i="11"/>
  <c r="E4" i="11"/>
  <c r="E3" i="11"/>
  <c r="E5" i="10"/>
  <c r="E4" i="10"/>
  <c r="E3" i="10"/>
  <c r="E5" i="9"/>
  <c r="E4" i="9"/>
  <c r="E3" i="9"/>
  <c r="E5" i="8"/>
  <c r="E4" i="8"/>
  <c r="E3" i="8"/>
  <c r="E5" i="7"/>
  <c r="E4" i="7"/>
  <c r="E3" i="7"/>
  <c r="E5" i="6"/>
  <c r="E4" i="6"/>
  <c r="E3" i="6"/>
  <c r="E5" i="5"/>
  <c r="E4" i="5"/>
  <c r="E3" i="5"/>
  <c r="E5" i="4"/>
  <c r="E4" i="4"/>
  <c r="E3" i="4"/>
  <c r="E5" i="3"/>
  <c r="E4" i="3"/>
  <c r="E3" i="3"/>
  <c r="E5" i="2"/>
  <c r="E4" i="2"/>
  <c r="E3" i="2"/>
  <c r="D29" i="1"/>
  <c r="C29" i="1"/>
  <c r="D28" i="1"/>
  <c r="C28" i="1"/>
  <c r="D27" i="1"/>
  <c r="C27" i="1"/>
  <c r="D26" i="1"/>
  <c r="C26" i="1"/>
  <c r="D21" i="1"/>
  <c r="I20" i="1"/>
  <c r="H20" i="1"/>
  <c r="G20" i="1"/>
  <c r="I19" i="1"/>
  <c r="H19" i="1"/>
  <c r="G19" i="1"/>
  <c r="J19" i="1" s="1"/>
  <c r="L19" i="1" s="1"/>
  <c r="I18" i="1"/>
  <c r="H18" i="1"/>
  <c r="G18" i="1"/>
  <c r="I17" i="1"/>
  <c r="H17" i="1"/>
  <c r="G17" i="1"/>
  <c r="I16" i="1"/>
  <c r="H16" i="1"/>
  <c r="G16" i="1"/>
  <c r="I15" i="1"/>
  <c r="H15" i="1"/>
  <c r="G15" i="1"/>
  <c r="I14" i="1"/>
  <c r="H14" i="1"/>
  <c r="J14" i="1" s="1"/>
  <c r="L14" i="1" s="1"/>
  <c r="G14" i="1"/>
  <c r="I13" i="1"/>
  <c r="H13" i="1"/>
  <c r="G13" i="1"/>
  <c r="I12" i="1"/>
  <c r="H12" i="1"/>
  <c r="G12" i="1"/>
  <c r="I11" i="1"/>
  <c r="H11" i="1"/>
  <c r="G11" i="1"/>
  <c r="I10" i="1"/>
  <c r="H10" i="1"/>
  <c r="G10" i="1"/>
  <c r="I9" i="1"/>
  <c r="H9" i="1"/>
  <c r="G9" i="1"/>
  <c r="I8" i="1"/>
  <c r="H8" i="1"/>
  <c r="G8" i="1"/>
  <c r="I7" i="1"/>
  <c r="H7" i="1"/>
  <c r="G7" i="1"/>
  <c r="J8" i="1" l="1"/>
  <c r="L8" i="1" s="1"/>
  <c r="J16" i="1"/>
  <c r="L16" i="1" s="1"/>
  <c r="J20" i="1"/>
  <c r="L20" i="1" s="1"/>
  <c r="J9" i="1"/>
  <c r="L9" i="1" s="1"/>
  <c r="J13" i="1"/>
  <c r="L13" i="1" s="1"/>
  <c r="H21" i="1"/>
  <c r="J18" i="1"/>
  <c r="L18" i="1" s="1"/>
  <c r="I21" i="1"/>
  <c r="J11" i="1"/>
  <c r="L11" i="1" s="1"/>
  <c r="J15" i="1"/>
  <c r="L15" i="1" s="1"/>
  <c r="J12" i="1"/>
  <c r="L12" i="1" s="1"/>
  <c r="J10" i="1"/>
  <c r="L10" i="1" s="1"/>
  <c r="J17" i="1"/>
  <c r="L17" i="1" s="1"/>
  <c r="G21" i="1"/>
  <c r="J7" i="1"/>
  <c r="J21" i="1" l="1"/>
  <c r="L7" i="1"/>
</calcChain>
</file>

<file path=xl/sharedStrings.xml><?xml version="1.0" encoding="utf-8"?>
<sst xmlns="http://schemas.openxmlformats.org/spreadsheetml/2006/main" count="957" uniqueCount="725">
  <si>
    <t xml:space="preserve">  UAT  —  RESOURCE COLLECTION NEXT GEN</t>
  </si>
  <si>
    <t>Versi 2 - Draft - 25 September 2026</t>
  </si>
  <si>
    <t>Isi kolom kuning. Lulus/Gagal/Terhalang terisi sendiri dari tiap sheet tahap, jadi tidak perlu dihitung manual.</t>
  </si>
  <si>
    <t>No</t>
  </si>
  <si>
    <t>Tahap</t>
  </si>
  <si>
    <t>Modul</t>
  </si>
  <si>
    <t>Jml Uji</t>
  </si>
  <si>
    <t>User yang Diuji</t>
  </si>
  <si>
    <t>PIC</t>
  </si>
  <si>
    <t>Lulus</t>
  </si>
  <si>
    <t>Gagal</t>
  </si>
  <si>
    <t>Terhalang</t>
  </si>
  <si>
    <t>Belum</t>
  </si>
  <si>
    <t>Tanggal</t>
  </si>
  <si>
    <t>Status</t>
  </si>
  <si>
    <t>Akses &amp; Sesi</t>
  </si>
  <si>
    <t>Login, Menu</t>
  </si>
  <si>
    <t>Semua peran</t>
  </si>
  <si>
    <t>Pengajuan</t>
  </si>
  <si>
    <t>Claim Upload</t>
  </si>
  <si>
    <t>Admin Depot / OSC</t>
  </si>
  <si>
    <t>Persetujuan</t>
  </si>
  <si>
    <t>Management of Approval</t>
  </si>
  <si>
    <t>OSC / Supervisor / Management / Depot Head</t>
  </si>
  <si>
    <t>Penerbitan</t>
  </si>
  <si>
    <t>Release Doc</t>
  </si>
  <si>
    <t>OSC / Supervisor</t>
  </si>
  <si>
    <t>Pencairan</t>
  </si>
  <si>
    <t>Claim Process</t>
  </si>
  <si>
    <t>OSC yang ditunjuk (U-OSC3) · Depot Head (U-DH)</t>
  </si>
  <si>
    <t>Rebate</t>
  </si>
  <si>
    <t>Bulk Process</t>
  </si>
  <si>
    <t>Data Induk</t>
  </si>
  <si>
    <t>Key Master</t>
  </si>
  <si>
    <t>System Manager / Supervisor</t>
  </si>
  <si>
    <t>Dokumen</t>
  </si>
  <si>
    <t>Document Center</t>
  </si>
  <si>
    <t>Jadwal</t>
  </si>
  <si>
    <t>Timetable</t>
  </si>
  <si>
    <t>Laporan</t>
  </si>
  <si>
    <t>Report &amp; Dashboard Publik</t>
  </si>
  <si>
    <t>Supervisor / Management / Umum</t>
  </si>
  <si>
    <t>Analisa</t>
  </si>
  <si>
    <t>Analytics &amp; People Performance</t>
  </si>
  <si>
    <t>Supervisor / Management</t>
  </si>
  <si>
    <t>Pengguna</t>
  </si>
  <si>
    <t>Access Management</t>
  </si>
  <si>
    <t>Supervisor / System Manager</t>
  </si>
  <si>
    <t>Email Pengajuan</t>
  </si>
  <si>
    <t>Jejak</t>
  </si>
  <si>
    <t>Log Aktivitas</t>
  </si>
  <si>
    <t>TOTAL</t>
  </si>
  <si>
    <t xml:space="preserve"> RINGKASAN TEMUAN</t>
  </si>
  <si>
    <t>Tingkat</t>
  </si>
  <si>
    <t>Arti</t>
  </si>
  <si>
    <t>Jumlah</t>
  </si>
  <si>
    <t>Sudah ditangani</t>
  </si>
  <si>
    <t>S1</t>
  </si>
  <si>
    <t>Pekerjaan berhenti, tidak ada jalan lain</t>
  </si>
  <si>
    <t>S2</t>
  </si>
  <si>
    <t>Pekerjaan jalan tapi hasilnya salah</t>
  </si>
  <si>
    <t>S3</t>
  </si>
  <si>
    <t>Mengganggu, ada jalan memutar</t>
  </si>
  <si>
    <t>S4</t>
  </si>
  <si>
    <t>Kosmetik (salah ketik, warna)</t>
  </si>
  <si>
    <t>UAT lulus bila: semua tahap Selesai, tidak ada S1 dan S2 yang masih terbuka, serta S3/S4 sudah disepakati untuk ditangani setelah rilis.</t>
  </si>
  <si>
    <t xml:space="preserve">  TAHAP 0  —  AKSES &amp; SESI</t>
  </si>
  <si>
    <t>User yang diuji</t>
  </si>
  <si>
    <t>#</t>
  </si>
  <si>
    <t>Yang dilakukan</t>
  </si>
  <si>
    <t>Yang harus terjadi</t>
  </si>
  <si>
    <t>Hasil</t>
  </si>
  <si>
    <t>Catatan</t>
  </si>
  <si>
    <t>0.1</t>
  </si>
  <si>
    <t>Masuk dengan User ID dan PIN yang benar</t>
  </si>
  <si>
    <t>Masuk ke beranda; nama, peran dan depot tampil di kanan atas</t>
  </si>
  <si>
    <t>0.2</t>
  </si>
  <si>
    <t>Masukkan PIN salah 3 kali berturut-turut</t>
  </si>
  <si>
    <t>Muncul sisa percobaan; pada kali ke-3 akun diblokir dengan pesan jelas</t>
  </si>
  <si>
    <t>0.3</t>
  </si>
  <si>
    <t>Masuk dengan akun berstatus Nonaktif</t>
  </si>
  <si>
    <t>Ditolak: "Akun dinonaktifkan administrator"</t>
  </si>
  <si>
    <t>0.4</t>
  </si>
  <si>
    <t>Setelah masuk, tekan F5</t>
  </si>
  <si>
    <t>Tetap di dalam aplikasi, tidak diminta PIN lagi</t>
  </si>
  <si>
    <t>0.5</t>
  </si>
  <si>
    <t>Tutup semua jendela peramban, buka lagi alamatnya</t>
  </si>
  <si>
    <t>Diminta login lagi</t>
  </si>
  <si>
    <t>0.6</t>
  </si>
  <si>
    <t>Buka alamat aplikasi di tab baru</t>
  </si>
  <si>
    <t>Diminta login — ini disengaja, bukan cacat</t>
  </si>
  <si>
    <t>0.7</t>
  </si>
  <si>
    <t>Belum login, ketik alamat /report</t>
  </si>
  <si>
    <t>Formulir login muncul; setelah masuk langsung mendarat di Report</t>
  </si>
  <si>
    <t>0.8</t>
  </si>
  <si>
    <t>Sebagai U-ADM, ketik /access di bilah alamat</t>
  </si>
  <si>
    <t>Berakhir di beranda, Access Management tidak terbuka</t>
  </si>
  <si>
    <t>0.9</t>
  </si>
  <si>
    <t>Ajukan ganti PIN dari menu profil</t>
  </si>
  <si>
    <t>Pengajuan masuk antrean persetujuan Supervisor / System Manager</t>
  </si>
  <si>
    <t>0.10</t>
  </si>
  <si>
    <t>Tekan Logout, lalu tekan tombol Back peramban</t>
  </si>
  <si>
    <t>Tidak kembali masuk ke aplikasi</t>
  </si>
  <si>
    <t>0.11</t>
  </si>
  <si>
    <t>Masuk sebagai tiap peran, catat kartu menu yang tampil</t>
  </si>
  <si>
    <t>Hanya kartu yang menjadi haknya yang tampil</t>
  </si>
  <si>
    <t>0.12</t>
  </si>
  <si>
    <t>Masuk sebagai U-DH lalu U-MGT</t>
  </si>
  <si>
    <t>Keduanya melihat semua kartu — keduanya memegang semua izin, dibatasi jangkauan depot/region</t>
  </si>
  <si>
    <t>0.13</t>
  </si>
  <si>
    <t>Buka satu per satu: /upload /release /process /analytics /key-master /document-center /report /timetable /approval /people-performance /access /log-activity /bulk-process /profile</t>
  </si>
  <si>
    <t>Semuanya membuka modulnya; alamat ikut berubah saat pindah modul</t>
  </si>
  <si>
    <t>0.14</t>
  </si>
  <si>
    <t>Cabut izin satu tab lewat Access Management, lalu masuk sebagai akun itu</t>
  </si>
  <si>
    <t>Tab tidak bisa dibuka; muncul "Anda tidak memiliki izin tab ini"</t>
  </si>
  <si>
    <t xml:space="preserve">  TAHAP 1  —  PENGAJUAN (CLAIM UPLOAD)</t>
  </si>
  <si>
    <t xml:space="preserve"> 1A. Unggah massal</t>
  </si>
  <si>
    <t>1.1</t>
  </si>
  <si>
    <t>Tekan Download Template pada tab Mass</t>
  </si>
  <si>
    <t>Excel terunduh dengan kolom sesuai layar</t>
  </si>
  <si>
    <t>1.2</t>
  </si>
  <si>
    <t>Tempel/unggah 20 dokumen uji</t>
  </si>
  <si>
    <t>Semuanya tampil di pratinjau, berstatus valid</t>
  </si>
  <si>
    <t>1.3</t>
  </si>
  <si>
    <t>Kosongkan kolom TOP Actual pada satu baris</t>
  </si>
  <si>
    <t>Baris tetap valid — tidak ada pesan "TOP wajib"</t>
  </si>
  <si>
    <t>1.4</t>
  </si>
  <si>
    <t>Isi TOP dengan abc lalu -5</t>
  </si>
  <si>
    <t>Ditolak: "TOP harus angka lebih dari 0, atau dikosongkan"</t>
  </si>
  <si>
    <t>1.5</t>
  </si>
  <si>
    <t>Isi TOP 120 pada pelanggan yang TOP Master-nya 60</t>
  </si>
  <si>
    <t>Baris tetap valid; sel TOP Actual berlatar kuning sebagai penanda</t>
  </si>
  <si>
    <t>1.6</t>
  </si>
  <si>
    <t>Perhatikan kolom pratinjau</t>
  </si>
  <si>
    <t>Ada TOP Setting (dari Customer Master) dan TOP Actual (yang diketik), terpisah</t>
  </si>
  <si>
    <t>1.7</t>
  </si>
  <si>
    <t>Unggah dokumen yang pelanggannya belum punya KTP maupun NPWP</t>
  </si>
  <si>
    <t>Ditolak, pesannya menyebut kode pelanggannya</t>
  </si>
  <si>
    <t>1.8</t>
  </si>
  <si>
    <t>Unggah dokumen Transfer yang pelanggannya belum punya rekening</t>
  </si>
  <si>
    <t>Ditolak, pesannya menyebut apa yang kurang</t>
  </si>
  <si>
    <t>1.9</t>
  </si>
  <si>
    <t>Isi Tgl Lunas dengan keenam bentuk: 15-04-2026 15.04.2026 15.04.26 15-04-26 150426 15042026</t>
  </si>
  <si>
    <t>Keenamnya diterima dan ditampilkan 15-Apr-2026</t>
  </si>
  <si>
    <t>1.10</t>
  </si>
  <si>
    <t>Isi 15/04/2026 atau April 15 2026</t>
  </si>
  <si>
    <t>Ditolak, pesannya menyebut bentuk yang diterima</t>
  </si>
  <si>
    <t>1.11</t>
  </si>
  <si>
    <t>Isi 31-04-2026</t>
  </si>
  <si>
    <t>Ditolak — bukan digeser ke 30 April</t>
  </si>
  <si>
    <t>1.12</t>
  </si>
  <si>
    <t>Isi Jenis CB dengan RA07</t>
  </si>
  <si>
    <t>Diterima, ditampilkan sebagai Rebate Manual</t>
  </si>
  <si>
    <t>1.13</t>
  </si>
  <si>
    <t>Isi Jenis CB dengan Transferr</t>
  </si>
  <si>
    <t>Ditolak, pesannya menyebut daftar resminya</t>
  </si>
  <si>
    <t>1.14</t>
  </si>
  <si>
    <t>Centang kotak pada baris header</t>
  </si>
  <si>
    <t>Semua baris di bawahnya ikut tercentang</t>
  </si>
  <si>
    <t>1.15</t>
  </si>
  <si>
    <t>Tekan Posting pada baris terpilih</t>
  </si>
  <si>
    <t>Dokumen jadi Submitted; laporan hasil menampilkan nomor batch</t>
  </si>
  <si>
    <t>1.16</t>
  </si>
  <si>
    <t>Unggah dokumen dengan No Document yang sudah ada</t>
  </si>
  <si>
    <t>Ditolak, tidak membuat duplikat</t>
  </si>
  <si>
    <t xml:space="preserve"> 1B. Input manual dan tab Open</t>
  </si>
  <si>
    <t>1.17</t>
  </si>
  <si>
    <t>Isi satu dokumen lewat tab Single</t>
  </si>
  <si>
    <t>Tersimpan, hasilnya sama seperti lewat unggahan massal</t>
  </si>
  <si>
    <t>1.18</t>
  </si>
  <si>
    <t>Buka tab Open</t>
  </si>
  <si>
    <t>Menampilkan dokumen Not Yet dalam jangkauan depot</t>
  </si>
  <si>
    <t>1.19</t>
  </si>
  <si>
    <t>Tekan tombol Kolom, ubah centangnya, lalu muat ulang halaman</t>
  </si>
  <si>
    <t>Pilihan kolom bertahan setelah muat ulang</t>
  </si>
  <si>
    <t>1.20</t>
  </si>
  <si>
    <t>Pilih dokumen, tekan On Hold, isi alasan</t>
  </si>
  <si>
    <t>Alasan wajib; dokumen masuk antrean persetujuan On Hold</t>
  </si>
  <si>
    <t>1.21</t>
  </si>
  <si>
    <t>Pilih dokumen uji, tekan Expired, isi alasan</t>
  </si>
  <si>
    <t>Alasan wajib; dokumen masuk antrean persetujuan Expired</t>
  </si>
  <si>
    <t>1.22</t>
  </si>
  <si>
    <t>Coba On Hold tanpa mengisi alasan</t>
  </si>
  <si>
    <t>Ditolak</t>
  </si>
  <si>
    <t xml:space="preserve">  TAHAP 2  —  PERSETUJUAN (MANAGEMENT OF APPROVAL)</t>
  </si>
  <si>
    <t xml:space="preserve"> 2A. Daftar dan rincian</t>
  </si>
  <si>
    <t>2.1</t>
  </si>
  <si>
    <t>Setelah 1.15, buka Management of Approval</t>
  </si>
  <si>
    <t>Batch unggahan tadi muncul di tab Within Payment Term</t>
  </si>
  <si>
    <t>2.2</t>
  </si>
  <si>
    <t>Perhatikan kolom tabelnya</t>
  </si>
  <si>
    <t>Ada No Batch, Depot, Qty Doc, Qty Cust, Qty Campaign, Total Net CB, Submitted By, Posting Date</t>
  </si>
  <si>
    <t>2.3</t>
  </si>
  <si>
    <t>Perhatikan kolom Total Net CB</t>
  </si>
  <si>
    <t>Nilai penuh tanpa koma di belakang (Rp 24.926.250), bukan singkatan</t>
  </si>
  <si>
    <t>2.4</t>
  </si>
  <si>
    <t>Klik nomor batch</t>
  </si>
  <si>
    <t>Tampil No Doc, Kode/Nama Cust, Kode/Nama Campaign, Net CB, Jenis CB, Status Pajak</t>
  </si>
  <si>
    <t>2.5</t>
  </si>
  <si>
    <t>Pada rincian, centang kolom TOP Setting, TOP Actual, Selisih TOP</t>
  </si>
  <si>
    <t>Ketiganya tampil; selisih positif merah tebal</t>
  </si>
  <si>
    <t>2.6</t>
  </si>
  <si>
    <t>Buka tab Overdue</t>
  </si>
  <si>
    <t>Berisi dokumen yang TOP Actual lebih besar dari TOP Setting (dari 1.5)</t>
  </si>
  <si>
    <t>2.7</t>
  </si>
  <si>
    <t>Masuk sebagai U-DH, buka modul ini</t>
  </si>
  <si>
    <t>Tab Overdue tidak tampil; ada keterangan sebabnya</t>
  </si>
  <si>
    <t xml:space="preserve"> 2B. Tindakan</t>
  </si>
  <si>
    <t>2.8</t>
  </si>
  <si>
    <t>Tekan Approve pada satu batch</t>
  </si>
  <si>
    <t>Dokumen jadi Approved dan hilang dari antrean; tidak diminta alasan</t>
  </si>
  <si>
    <t>2.9</t>
  </si>
  <si>
    <t>Centang beberapa batch, tekan Posting Approve</t>
  </si>
  <si>
    <t>Semuanya diproses sekaligus</t>
  </si>
  <si>
    <t>2.10</t>
  </si>
  <si>
    <t>Dari rincian, tekan Approve pada satu baris</t>
  </si>
  <si>
    <t>Hanya dokumen itu yang berpindah</t>
  </si>
  <si>
    <t>2.11</t>
  </si>
  <si>
    <t>Tekan Reject pada satu dokumen</t>
  </si>
  <si>
    <t>Dokumen kembali ke Not Yet di depot; tidak diminta alasan</t>
  </si>
  <si>
    <t>2.12</t>
  </si>
  <si>
    <t>Masuk sebagai U-OSC1 (2 depot)</t>
  </si>
  <si>
    <t>Dropdown depot bisa dipilih; memilih satu depot mempersempit daftar dan ringkasannya</t>
  </si>
  <si>
    <t>2.13</t>
  </si>
  <si>
    <t>Masuk sebagai U-OSC2 (1 depot)</t>
  </si>
  <si>
    <t>Dropdown terkunci pada depot itu</t>
  </si>
  <si>
    <t>2.14</t>
  </si>
  <si>
    <t>Ketik sebagian nomor batch / nama toko / campaign di kotak cari</t>
  </si>
  <si>
    <t>Daftar menyempit seketika; ringkasan di atas ikut menyesuaikan</t>
  </si>
  <si>
    <t>2.15</t>
  </si>
  <si>
    <t>Tekan Excel pada tab mana pun</t>
  </si>
  <si>
    <t>Berkas berisi apa yang sedang terlihat — tab, penyaring dan pencarian yang aktif</t>
  </si>
  <si>
    <t xml:space="preserve"> 2C. Riwayat</t>
  </si>
  <si>
    <t>2.16</t>
  </si>
  <si>
    <t>Buka tab History</t>
  </si>
  <si>
    <t>Berisi waktu, No Doc, batch, depot, tindakan, dari→ke, oleh</t>
  </si>
  <si>
    <t>2.17</t>
  </si>
  <si>
    <t>Bila riwayat lebih dari 50 baris, tekan Berikutnya / Sebelumnya</t>
  </si>
  <si>
    <t>Berpindah halaman; keterangan "Menampilkan a-b dari N" benar</t>
  </si>
  <si>
    <t xml:space="preserve"> 2D. Tab On Hold &amp; Expired</t>
  </si>
  <si>
    <t>2.18</t>
  </si>
  <si>
    <t>Buka tab keempat</t>
  </si>
  <si>
    <t>Berisi dokumen On Hold dan Expired yang menunggu keputusan, dengan kolom Asal dan Alasan Terakhir</t>
  </si>
  <si>
    <t>2.19</t>
  </si>
  <si>
    <t>Cari baris beralasan panjang, tekan tombol kecil di sebelahnya</t>
  </si>
  <si>
    <t>Dialog terbuka berisi alasan utuh, status, oleh, dan waktu</t>
  </si>
  <si>
    <t>2.20</t>
  </si>
  <si>
    <t>Tekan Approve pada baris On Hold</t>
  </si>
  <si>
    <t>Status tetap On Hold, baris hilang dari antrean (keputusannya disahkan)</t>
  </si>
  <si>
    <t>2.21</t>
  </si>
  <si>
    <t>Tekan Reject pada baris On Hold</t>
  </si>
  <si>
    <t>Dokumen kembali ke status sebelum ditahan dan melanjutkan alurnya</t>
  </si>
  <si>
    <t>2.22</t>
  </si>
  <si>
    <t>Masuk sebagai U-DH</t>
  </si>
  <si>
    <t>Antrean terlihat, tombolnya beku, ada keterangan sebabnya</t>
  </si>
  <si>
    <t>2.23</t>
  </si>
  <si>
    <t>Masuk sebagai U-OSC1 lalu U-SPV</t>
  </si>
  <si>
    <t>Keduanya bisa memutuskan, terbatas pada jangkauan depotnya</t>
  </si>
  <si>
    <t>2.24</t>
  </si>
  <si>
    <t>Buka Release Doc setelah 2.8</t>
  </si>
  <si>
    <t>Hanya dokumen Approved yang muncul — bukan Submitted</t>
  </si>
  <si>
    <t>2.25</t>
  </si>
  <si>
    <t>Coba Release dokumen yang masih Submitted</t>
  </si>
  <si>
    <t xml:space="preserve">  TAHAP 3  —  PENERBITAN (RELEASE DOC)</t>
  </si>
  <si>
    <t>3.1</t>
  </si>
  <si>
    <t>Pilih dokumen Approved, tekan Release</t>
  </si>
  <si>
    <t>Jadi Released, nomor batch Release terbit</t>
  </si>
  <si>
    <t>3.2</t>
  </si>
  <si>
    <t>Perhatikan kartu pelaku pada baris</t>
  </si>
  <si>
    <t>Tampil Submitted, Approved, Released, Claimed — masing-masing dengan nama dan tanggal</t>
  </si>
  <si>
    <t>3.3</t>
  </si>
  <si>
    <t>Tekan Reject dengan alasan</t>
  </si>
  <si>
    <t>Alasan wajib; dokumen kembali ke Not Yet</t>
  </si>
  <si>
    <t>3.4</t>
  </si>
  <si>
    <t>Tekan Reject tanpa mengisi alasan</t>
  </si>
  <si>
    <t>3.5</t>
  </si>
  <si>
    <t>Buka Release Doc, cari dokumen Rebate</t>
  </si>
  <si>
    <t>Dokumen Rebate tidak muncul di sini</t>
  </si>
  <si>
    <t>3.6</t>
  </si>
  <si>
    <t>Gunakan penyaring depot / campaign</t>
  </si>
  <si>
    <t>Daftar menyempit sesuai penyaring</t>
  </si>
  <si>
    <t>3.7</t>
  </si>
  <si>
    <t>Tekan Excel</t>
  </si>
  <si>
    <t>Berkas berisi baris yang sedang terlihat</t>
  </si>
  <si>
    <t xml:space="preserve">  TAHAP 4  —  PENCAIRAN (CLAIM PROCESS)</t>
  </si>
  <si>
    <t>4.1</t>
  </si>
  <si>
    <t>Pilih dokumen Released, tekan Claim</t>
  </si>
  <si>
    <t>Jadi Claimed dengan nomor batch Claim</t>
  </si>
  <si>
    <t>4.2</t>
  </si>
  <si>
    <t>Pilih dokumen Claimed, isi tanggal clearing, tekan Clearing</t>
  </si>
  <si>
    <t>Jadi Done</t>
  </si>
  <si>
    <t>4.3</t>
  </si>
  <si>
    <t>Coba Clearing atas dokumen yang masih Approved</t>
  </si>
  <si>
    <t>4.4</t>
  </si>
  <si>
    <t>Tekan Reject pada tab Claim to Finance</t>
  </si>
  <si>
    <t>Dokumen kembali ke Approved</t>
  </si>
  <si>
    <t>4.5</t>
  </si>
  <si>
    <t>Tekan Reject pada Clearing</t>
  </si>
  <si>
    <t>Dokumen kembali ke Released</t>
  </si>
  <si>
    <t>4.6</t>
  </si>
  <si>
    <t>Tandai satu dokumen Released sebagai Expired dari modul ini</t>
  </si>
  <si>
    <t>Jadi Expired, nomor batch terbit di kolom Clearing</t>
  </si>
  <si>
    <t>4.7</t>
  </si>
  <si>
    <t>Perhatikan nilai rupiah di seluruh tabel</t>
  </si>
  <si>
    <t>Tidak ada koma desimal di belakang angka</t>
  </si>
  <si>
    <t>4.8</t>
  </si>
  <si>
    <t>Isi tanggal clearing dengan bentuk 15042026</t>
  </si>
  <si>
    <t>Diterima dan ditampilkan 15-Apr-2026</t>
  </si>
  <si>
    <t>4.9</t>
  </si>
  <si>
    <t>4.10</t>
  </si>
  <si>
    <t>Masuk sebagai U-DH, buka Claim Process</t>
  </si>
  <si>
    <t>Hanya dokumen depotnya sendiri yang terlihat</t>
  </si>
  <si>
    <t>4.11</t>
  </si>
  <si>
    <t>Sebagai U-DH, coba proses dokumen depot lain lewat alamat langsung</t>
  </si>
  <si>
    <t>4.12</t>
  </si>
  <si>
    <t>Masuk sebagai U-OSC3, jalankan 4.1 sampai 4.5</t>
  </si>
  <si>
    <t>Semuanya bisa dikerjakan dalam jangkauan depotnya</t>
  </si>
  <si>
    <t xml:space="preserve">  TAHAP 5  —  REBATE (BULK PROCESS)</t>
  </si>
  <si>
    <t>5.1</t>
  </si>
  <si>
    <t>Buka Bulk Process</t>
  </si>
  <si>
    <t>Hanya Rebate yang sudah melewati approval yang tampil — tidak ada yang Submitted</t>
  </si>
  <si>
    <t>5.2</t>
  </si>
  <si>
    <t>Pilih beberapa, tekan proses</t>
  </si>
  <si>
    <t>Langsung jadi Done dengan nomor batch</t>
  </si>
  <si>
    <t>5.3</t>
  </si>
  <si>
    <t>Unggah dokumen Jenis CB Rebate Manual, lalu setujui</t>
  </si>
  <si>
    <t>Langsung Done setelah disetujui, tanpa lewat Release</t>
  </si>
  <si>
    <t>5.4</t>
  </si>
  <si>
    <t>Coba proses dokumen non-Rebate lewat Bulk Process</t>
  </si>
  <si>
    <t>5.5</t>
  </si>
  <si>
    <t xml:space="preserve">  TAHAP 6  —  DATA INDUK (KEY MASTER)</t>
  </si>
  <si>
    <t>6.1</t>
  </si>
  <si>
    <t>Tekan Ubah pada satu pelanggan, ganti Contact Person, Simpan</t>
  </si>
  <si>
    <t>Tersimpan; tombol Simpan bisa dijangkau walau dialognya panjang</t>
  </si>
  <si>
    <t>6.2</t>
  </si>
  <si>
    <t>Saat dialog Ubah terbuka, coba gulir dan klik layar di belakangnya</t>
  </si>
  <si>
    <t>Layar belakang tidak bergerak dan tidak menanggapi klik</t>
  </si>
  <si>
    <t>6.3</t>
  </si>
  <si>
    <t>Tekan Ubah pada satu campaign</t>
  </si>
  <si>
    <t>Dialog memuat tiga pasang periode: Campaign, SO, dan Billing</t>
  </si>
  <si>
    <t>6.4</t>
  </si>
  <si>
    <t>Isi Periode SO 05-01-2026–25-03-2026, kosongkan Billing, Simpan</t>
  </si>
  <si>
    <t>Periode Billing otomatis mengikuti SO</t>
  </si>
  <si>
    <t>6.5</t>
  </si>
  <si>
    <t>Isi Periode Billing 01-09-2026–30-09-2026, Simpan</t>
  </si>
  <si>
    <t>Billing yang diisi menang, tidak tertimpa SO</t>
  </si>
  <si>
    <t>6.6</t>
  </si>
  <si>
    <t>Isi Billing Start lebih besar dari Billing End</t>
  </si>
  <si>
    <t>Ditolak, pesannya menyebut campaign-nya</t>
  </si>
  <si>
    <t>6.7</t>
  </si>
  <si>
    <t>Perhatikan tabel Campaign</t>
  </si>
  <si>
    <t>Ada kolom Periode SO dan Periode Billing</t>
  </si>
  <si>
    <t>6.8</t>
  </si>
  <si>
    <t>Unduh template Campaign Master</t>
  </si>
  <si>
    <t>Memuat kolom Periode SO Start/End dan Periode Billing Start/End</t>
  </si>
  <si>
    <t>6.9</t>
  </si>
  <si>
    <t>Unggah template yang sudah diisi</t>
  </si>
  <si>
    <t>Keempat periode tersimpan dan terbaca di tabel</t>
  </si>
  <si>
    <t>6.10</t>
  </si>
  <si>
    <t>Tekan Ubah pada satu depot, ganti Region, Simpan</t>
  </si>
  <si>
    <t>Tersimpan; Region berubah</t>
  </si>
  <si>
    <t>6.11</t>
  </si>
  <si>
    <t>Isi alamat email depot pada Depot Master, Simpan</t>
  </si>
  <si>
    <t>Tersimpan — ini yang dipakai email pengajuan</t>
  </si>
  <si>
    <t>6.12</t>
  </si>
  <si>
    <t>Arsipkan satu baris pada ketiga tab</t>
  </si>
  <si>
    <t>Baris pindah ke arsip, tidak terhapus permanen</t>
  </si>
  <si>
    <t>6.13</t>
  </si>
  <si>
    <t>Buka daftar arsip, kembalikan baris tadi</t>
  </si>
  <si>
    <t>Baris kembali seperti semula</t>
  </si>
  <si>
    <t>6.14</t>
  </si>
  <si>
    <t>Masuk sebagai U-ADM, buka Key Master</t>
  </si>
  <si>
    <t>Data terlihat, tombol pengubah beku</t>
  </si>
  <si>
    <t xml:space="preserve">  TAHAP 7  —  DOKUMEN (DOCUMENT CENTER)</t>
  </si>
  <si>
    <t>7.1</t>
  </si>
  <si>
    <t>Pilih campaign / batch / status, tekan Tarik Data</t>
  </si>
  <si>
    <t>Daftar tampil sesuai penyaring</t>
  </si>
  <si>
    <t>7.2</t>
  </si>
  <si>
    <t>Perhatikan kolom periodenya</t>
  </si>
  <si>
    <t>Menampilkan Periode SO dan Periode Billing</t>
  </si>
  <si>
    <t>7.3</t>
  </si>
  <si>
    <t>Lihat dokumen yang tidak punya perpanjangan</t>
  </si>
  <si>
    <t>Memakai periode dari Campaign Master</t>
  </si>
  <si>
    <t>7.4</t>
  </si>
  <si>
    <t>Ubah periode SO pada satu dokumen</t>
  </si>
  <si>
    <t>Nilai dokumen yang tampil, menimpa periode master</t>
  </si>
  <si>
    <t>7.5</t>
  </si>
  <si>
    <t>Buka tab Reprocessing Doc</t>
  </si>
  <si>
    <t>Berisi dokumen On Hold yang perlu direvisi, beserta periode SO dan Billing</t>
  </si>
  <si>
    <t>7.6</t>
  </si>
  <si>
    <t>Pilih baris, isi alasan, Arsipkan</t>
  </si>
  <si>
    <t>Baris terarsip dan bisa dikembalikan</t>
  </si>
  <si>
    <t xml:space="preserve">  TAHAP 8  —  JADWAL (TIMETABLE)</t>
  </si>
  <si>
    <t>8.1</t>
  </si>
  <si>
    <t>Buka Timetable</t>
  </si>
  <si>
    <t>Matriks depot × campaign tampil</t>
  </si>
  <si>
    <t>8.2</t>
  </si>
  <si>
    <t>Catat isi "Top 10 Depot dengan Not Yet Terbanyak" sebagai U-SM, lalu bandingkan sebagai U-OSC2</t>
  </si>
  <si>
    <t>Isinya sama persis — papan ini memang terbuka untuk semua</t>
  </si>
  <si>
    <t>8.3</t>
  </si>
  <si>
    <t>Masuk sebagai U-ADM</t>
  </si>
  <si>
    <t>Hanya progres depotnya sendiri yang terlihat per depot; progres per campaign tetap terlihat</t>
  </si>
  <si>
    <t>8.4</t>
  </si>
  <si>
    <t>Pilih sel, tandai Not Achieved</t>
  </si>
  <si>
    <t>Tersimpan dan terlihat oleh peran lain</t>
  </si>
  <si>
    <t>8.5</t>
  </si>
  <si>
    <t>Masuk sebagai U-SPV pada depot di luar OSC binaannya</t>
  </si>
  <si>
    <t>Data terlihat, tombol aksi beku</t>
  </si>
  <si>
    <t>8.6</t>
  </si>
  <si>
    <t>Periksa campaign yang sudah di-Exclude</t>
  </si>
  <si>
    <t>Tidak ikut dihitung di Timetable</t>
  </si>
  <si>
    <t xml:space="preserve">  TAHAP 9  —  LAPORAN (REPORT &amp; DASHBOARD PUBLIK)</t>
  </si>
  <si>
    <t xml:space="preserve"> 9A. Modul Report</t>
  </si>
  <si>
    <t>9.1</t>
  </si>
  <si>
    <t>Buka Report, tab Dashboard</t>
  </si>
  <si>
    <t>KPI, Tren Volume &amp; Nilai, Distribusi Status, Aging, Clearing Rate per Region, Top 10 Depot Outstanding, tabel per Campaign/Region/Depot</t>
  </si>
  <si>
    <t>9.2</t>
  </si>
  <si>
    <t>Pilih satu Tahun Campaign</t>
  </si>
  <si>
    <t>Semua angka menyempit; daftar tahun tidak menyusut sehingga masih bisa kembali ke tahun lain</t>
  </si>
  <si>
    <t>9.3</t>
  </si>
  <si>
    <t>Isi Billing Start dan Billing End</t>
  </si>
  <si>
    <t>Hanya baris yang periode billing-nya bersinggungan dengan rentang itu yang ikut</t>
  </si>
  <si>
    <t>9.4</t>
  </si>
  <si>
    <t>Tekan Kosongkan</t>
  </si>
  <si>
    <t>Semua penyaring bersih, angkanya kembali seperti semula</t>
  </si>
  <si>
    <t>9.5</t>
  </si>
  <si>
    <t>Isi rentang billing tahun 1900</t>
  </si>
  <si>
    <t>Tabel kosong dengan keterangan — bukan menampilkan seluruh data</t>
  </si>
  <si>
    <t>9.6</t>
  </si>
  <si>
    <t>Buka tab Cost Center 1</t>
  </si>
  <si>
    <t>Depot × Campaign dengan Qty, Net CB, Net Claimed, Gross Claimed, CB Expired, Clearing</t>
  </si>
  <si>
    <t>9.7</t>
  </si>
  <si>
    <t>Dekatkan kursor ke batang pada diagram Sebaran Clearing Rate</t>
  </si>
  <si>
    <t>Menyebut nama campaign di rentang itu beserta jumlah depotnya</t>
  </si>
  <si>
    <t>9.8</t>
  </si>
  <si>
    <t>Buka tab Cost Center 2</t>
  </si>
  <si>
    <t>Campaign × Bulan pencairan; penyaring bulan berfungsi</t>
  </si>
  <si>
    <t>9.9</t>
  </si>
  <si>
    <t>Berkas berisi sembilan sheet: KPI, Tren Bulanan, Sebaran Status, Aging, Per Region, Per Depot, Performa per Campaign, Cost Center 1, Cost Center 2</t>
  </si>
  <si>
    <t>9.10</t>
  </si>
  <si>
    <t>Tanpa membuka tab Cost Center 2, tekan Excel</t>
  </si>
  <si>
    <t>Sheet Cost Center 2 tetap ada isinya</t>
  </si>
  <si>
    <t>9.11</t>
  </si>
  <si>
    <t>Perhatikan seluruh nilai rupiah</t>
  </si>
  <si>
    <t>9.12</t>
  </si>
  <si>
    <t>Tekan tombol perbesar pada satu diagram, lalu tutup</t>
  </si>
  <si>
    <t>Memenuhi layar, lalu kembali ke ukuran semula tanpa berubah bentuk</t>
  </si>
  <si>
    <t xml:space="preserve"> 9B. Dashboard publik</t>
  </si>
  <si>
    <t>9.13</t>
  </si>
  <si>
    <t>Buka /dashboard di jendela penyamaran</t>
  </si>
  <si>
    <t>Terbuka tanpa diminta login</t>
  </si>
  <si>
    <t>9.14</t>
  </si>
  <si>
    <t>Bandingkan angka dan diagramnya dengan modul Report untuk penyaring yang sama</t>
  </si>
  <si>
    <t>Sama persis</t>
  </si>
  <si>
    <t>9.15</t>
  </si>
  <si>
    <t>Buka /dashboard/cost-center-1 dan /dashboard/cost-center-2</t>
  </si>
  <si>
    <t>Masing-masing membuka panelnya</t>
  </si>
  <si>
    <t>9.16</t>
  </si>
  <si>
    <t>Telusuri seluruh halaman</t>
  </si>
  <si>
    <t>Tidak ada nama toko, KTP, NPWP, maupun nomor rekening</t>
  </si>
  <si>
    <t>9.17</t>
  </si>
  <si>
    <t>Pakai penyaring Region/Depot/Campaign/Tahun/Billing</t>
  </si>
  <si>
    <t>Berfungsi sama seperti di dalam aplikasi</t>
  </si>
  <si>
    <t>9.18</t>
  </si>
  <si>
    <t>Buka di layar ponsel</t>
  </si>
  <si>
    <t>Tetap terbaca, tidak ada gulir mendatar</t>
  </si>
  <si>
    <t xml:space="preserve">  TAHAP 10  —  ANALISA (ANALYTICS &amp; PEOPLE PERFORMANCE)</t>
  </si>
  <si>
    <t>10.1</t>
  </si>
  <si>
    <t>Daftar klaim dengan penyaring OSC/Depot/Campaign/Tahun</t>
  </si>
  <si>
    <t>10.2</t>
  </si>
  <si>
    <t>Klik nama toko</t>
  </si>
  <si>
    <t>Dialog terbuka; kode dan nama toko terbaca utuh, tidak terpotong</t>
  </si>
  <si>
    <t>10.3</t>
  </si>
  <si>
    <t>Buka tab Summary</t>
  </si>
  <si>
    <t>Ringkasan per Master Code</t>
  </si>
  <si>
    <t>10.4</t>
  </si>
  <si>
    <t>Klik satu baris Summary</t>
  </si>
  <si>
    <t>Rinciannya terbuka</t>
  </si>
  <si>
    <t>10.5</t>
  </si>
  <si>
    <t>10.6</t>
  </si>
  <si>
    <t>Buka People Performance tab OSC</t>
  </si>
  <si>
    <t>Kinerja per OSC tampil</t>
  </si>
  <si>
    <t>10.7</t>
  </si>
  <si>
    <t>Buka People Performance tab Supervisor</t>
  </si>
  <si>
    <t>Kinerja per Supervisor tampil</t>
  </si>
  <si>
    <t xml:space="preserve">  TAHAP 11  —  PENGGUNA (ACCESS MANAGEMENT)</t>
  </si>
  <si>
    <t>11.1</t>
  </si>
  <si>
    <t>Sebagai U-SM, buka Access Management</t>
  </si>
  <si>
    <t>Daftar akun beserta peran, depot dan region</t>
  </si>
  <si>
    <t>11.2</t>
  </si>
  <si>
    <t>Ubah peran satu akun uji menjadi Depot Head</t>
  </si>
  <si>
    <t>Tersimpan; yurisdiksi lama ter-reset, tidak ada dua yurisdiksi sekaligus</t>
  </si>
  <si>
    <t>11.3</t>
  </si>
  <si>
    <t>Ubah peran satu akun menjadi Management</t>
  </si>
  <si>
    <t>Muncul kotak Assignment Region berisi region dari Depot Master beserta jumlah depotnya</t>
  </si>
  <si>
    <t>11.4</t>
  </si>
  <si>
    <t>Coba simpan region yang tidak ada di Depot Master</t>
  </si>
  <si>
    <t>11.5</t>
  </si>
  <si>
    <t>Tugaskan satu OSC ke satu depot</t>
  </si>
  <si>
    <t>Tersimpan — ini yang menentukan CC email pengajuan</t>
  </si>
  <si>
    <t>11.6</t>
  </si>
  <si>
    <t>Masuk sebagai akun yang punya akses modul ini tetapi bukan Supervisor/System Manager</t>
  </si>
  <si>
    <t>Isinya terlihat, semua tombol pengubah beku, ada keterangan sebabnya</t>
  </si>
  <si>
    <t>11.7</t>
  </si>
  <si>
    <t>Buka dialog Edit satu akun</t>
  </si>
  <si>
    <t>Daftar modul memuat Document Center (bukan "Cashback Compilation") dan Management of Approval</t>
  </si>
  <si>
    <t>11.8</t>
  </si>
  <si>
    <t>Periksa daftar tab pada dialog Edit</t>
  </si>
  <si>
    <t>Memuat tab Email Pengajuan</t>
  </si>
  <si>
    <t>11.9</t>
  </si>
  <si>
    <t>Daftarkan akun baru, setujui dari tab Approval Request</t>
  </si>
  <si>
    <t>Akun bisa masuk setelah disetujui</t>
  </si>
  <si>
    <t>11.10</t>
  </si>
  <si>
    <t>Sebagai U-SM, hapus akun uji</t>
  </si>
  <si>
    <t>Terhapus/terarsip sesuai aturan</t>
  </si>
  <si>
    <t>11.11</t>
  </si>
  <si>
    <t>Buka tab Arsip Hapus, kembalikan akun tadi</t>
  </si>
  <si>
    <t>Akun kembali</t>
  </si>
  <si>
    <t xml:space="preserve">  TAHAP 12  —  EMAIL PENGAJUAN</t>
  </si>
  <si>
    <t xml:space="preserve"> 12A. Pengaturan</t>
  </si>
  <si>
    <t>12.1</t>
  </si>
  <si>
    <t>Buka Access Management, tab Email Pengajuan</t>
  </si>
  <si>
    <t>Tab terbuka; sakelar menunjukkan NONAKTIF pada awalnya</t>
  </si>
  <si>
    <t>12.2</t>
  </si>
  <si>
    <t>Perhatikan kotak Contoh Penerima</t>
  </si>
  <si>
    <t>TO berisi alamat depot; CC berisi OSC &amp; Supervisor sesuai yurisdiksi dan email tambahan</t>
  </si>
  <si>
    <t>12.3</t>
  </si>
  <si>
    <t>Periksa apakah alamat CC dari Depot Master ikut</t>
  </si>
  <si>
    <t>Tidak boleh ikut — CC hanya dari yurisdiksi dan daftar di tab ini</t>
  </si>
  <si>
    <t>12.4</t>
  </si>
  <si>
    <t>Isi daftar Email Tambahan dengan 2 alamat, Simpan</t>
  </si>
  <si>
    <t>Tersimpan; kedua alamat muncul di Contoh Penerima bagian CC</t>
  </si>
  <si>
    <t>12.5</t>
  </si>
  <si>
    <t>Isi Email Tambahan dengan bukan-email, Simpan</t>
  </si>
  <si>
    <t>Ditolak, pesannya menyebut alamat yang salah</t>
  </si>
  <si>
    <t>12.6</t>
  </si>
  <si>
    <t>Centang Mode Uji tanpa mengisi alamat uji, Simpan</t>
  </si>
  <si>
    <t>Ditolak: "Mode Uji memerlukan alamat email uji"</t>
  </si>
  <si>
    <t>12.7</t>
  </si>
  <si>
    <t>Isi alamat uji, centang Mode Uji, nyalakan sakelar, Simpan</t>
  </si>
  <si>
    <t>Tersimpan; keterangan berubah jadi "Seluruh email dari action akan masuk ke ..."</t>
  </si>
  <si>
    <t>12.8</t>
  </si>
  <si>
    <t>Muat ulang halaman, buka tab ini lagi</t>
  </si>
  <si>
    <t>Sakelar tetap AKTIF dan Mode Uji tetap tercentang</t>
  </si>
  <si>
    <t>12.9</t>
  </si>
  <si>
    <t>Tekan Kirim Contoh</t>
  </si>
  <si>
    <t>Email contoh masuk ke alamat uji dalam beberapa detik</t>
  </si>
  <si>
    <t>12.10</t>
  </si>
  <si>
    <t>Masuk sebagai OSC atau Admin, buka tab ini</t>
  </si>
  <si>
    <t>Isinya terlihat, semua kendali beku</t>
  </si>
  <si>
    <t xml:space="preserve"> 12B. Email dari action sungguhan</t>
  </si>
  <si>
    <t>Action yang dilakukan</t>
  </si>
  <si>
    <t>Subjek yang harus muncul</t>
  </si>
  <si>
    <t>12.11</t>
  </si>
  <si>
    <t>Posting 2 dokumen di Claim Upload</t>
  </si>
  <si>
    <t>[UJI] Approval - Pengajuan Claim Cashback &lt;nama depo&gt;</t>
  </si>
  <si>
    <t>12.12</t>
  </si>
  <si>
    <t>Approve 2 dokumen di Management of Approval</t>
  </si>
  <si>
    <t>[UJI] Approved - Pengajuan Claim Cashback Depo &lt;nama depo&gt;</t>
  </si>
  <si>
    <t>12.13</t>
  </si>
  <si>
    <t>Clearing 2 dokumen</t>
  </si>
  <si>
    <t>[UJI] Done - Pengajuan Claim Cashback</t>
  </si>
  <si>
    <t>12.14</t>
  </si>
  <si>
    <t>On Hold 2 dokumen</t>
  </si>
  <si>
    <t>[UJI] On Hold - Pengajuan Claim Cashback &lt;nama depo&gt;</t>
  </si>
  <si>
    <t>12.15</t>
  </si>
  <si>
    <t>Expired 2 dokumen</t>
  </si>
  <si>
    <t>[UJI] Expired - Pengajuan Claim Cashback &lt;nama depo&gt;</t>
  </si>
  <si>
    <t>12.16</t>
  </si>
  <si>
    <t>Release dan Claim to Finance 2 dokumen</t>
  </si>
  <si>
    <t>Tidak ada email — kedua tahap ini memang tidak mengabari</t>
  </si>
  <si>
    <t xml:space="preserve"> 12C. Isi email — periksa pada salah satu email di atas</t>
  </si>
  <si>
    <t>Yang diperiksa</t>
  </si>
  <si>
    <t>Yang harus terlihat</t>
  </si>
  <si>
    <t>12.17</t>
  </si>
  <si>
    <t>Kop surat</t>
  </si>
  <si>
    <t>Berlatar merah, ada logo Nippon di kiri dan maskot RC di kanan, keduanya tampil tanpa harus menekan "tampilkan gambar"</t>
  </si>
  <si>
    <t>12.18</t>
  </si>
  <si>
    <t>Spanduk hitam di paling atas</t>
  </si>
  <si>
    <t>"MODE UJI — surat ini TIDAK dikirim ke depot", beserta daftar TO dan CC yang seharusnya</t>
  </si>
  <si>
    <t>12.19</t>
  </si>
  <si>
    <t>Kalimat pembuka</t>
  </si>
  <si>
    <t>Diawali "Dear All,"</t>
  </si>
  <si>
    <t>12.20</t>
  </si>
  <si>
    <t>Tabel</t>
  </si>
  <si>
    <t>Kolom NO BATCH, NAMA CAMPAIGN, JUMLAH TOKO, TOTAL CB</t>
  </si>
  <si>
    <t>12.21</t>
  </si>
  <si>
    <t>Baris terakhir tabel</t>
  </si>
  <si>
    <t>GRAND TOTAL dengan jumlah toko dan total CB</t>
  </si>
  <si>
    <t>12.22</t>
  </si>
  <si>
    <t>Nilai rupiah</t>
  </si>
  <si>
    <t>Pemisah titik, tanpa koma desimal (Rp 1.100.000)</t>
  </si>
  <si>
    <t>12.23</t>
  </si>
  <si>
    <t>Kalimat permintaan</t>
  </si>
  <si>
    <t>Sesuai tahapnya: Management approve / OSC proses / Depo cek list toko</t>
  </si>
  <si>
    <t>12.24</t>
  </si>
  <si>
    <t>Penutup</t>
  </si>
  <si>
    <t>"Regards, SA &amp; SD Operations" dan keterangan kecil sa_sd1@nipponpaint-indonesia.com</t>
  </si>
  <si>
    <t>12.25</t>
  </si>
  <si>
    <t>Lampiran</t>
  </si>
  <si>
    <t>Tidak ada lampiran PDF</t>
  </si>
  <si>
    <t>12.26</t>
  </si>
  <si>
    <t>Email On Hold dan Expired</t>
  </si>
  <si>
    <t>Memuat kotak kuning berisi Alasan yang diketik saat aksi</t>
  </si>
  <si>
    <t xml:space="preserve"> 12D. Setelah UAT selesai</t>
  </si>
  <si>
    <t>12.27</t>
  </si>
  <si>
    <t>Hapus centang Mode Uji, Simpan</t>
  </si>
  <si>
    <t>Muncul konfirmasi yang menyebutkan email akan mulai ke alamat depot sungguhan</t>
  </si>
  <si>
    <t xml:space="preserve">  TAHAP 13  —  JEJAK (LOG AKTIVITAS)</t>
  </si>
  <si>
    <t>13.1</t>
  </si>
  <si>
    <t>Buka Log Aktivitas setelah menjalankan Tahap 1–5</t>
  </si>
  <si>
    <t>Setiap tindakan tercatat dengan waktu, User ID, peran dan keterangan</t>
  </si>
  <si>
    <t>13.2</t>
  </si>
  <si>
    <t>Cari baris approve batch</t>
  </si>
  <si>
    <t>Keterangannya menyebut nomor batch dan jumlah dokumen</t>
  </si>
  <si>
    <t>13.3</t>
  </si>
  <si>
    <t>Cari baris approve satu dokumen</t>
  </si>
  <si>
    <t>Keterangannya menyebut nomor dokumennya</t>
  </si>
  <si>
    <t>13.4</t>
  </si>
  <si>
    <t>Bandingkan tab History pada Management of Approval dengan Log Aktivitas</t>
  </si>
  <si>
    <t>Keduanya menceritakan kejadian yang sama</t>
  </si>
  <si>
    <t>13.5</t>
  </si>
  <si>
    <t>Pakai penyaring tanggal dan pengguna</t>
  </si>
  <si>
    <t>13.6</t>
  </si>
  <si>
    <t xml:space="preserve">  PERSIAPAN SEBELUM UAT DIMULAI</t>
  </si>
  <si>
    <t>AKUN PENGUJI</t>
  </si>
  <si>
    <t>Jangan berbagi akun. Log Aktivitas mencatat pelakunya, dan akun bersama membuat hasil UAT tidak bisa ditelusuri.</t>
  </si>
  <si>
    <t>Kode</t>
  </si>
  <si>
    <t>Peran</t>
  </si>
  <si>
    <t>Jangkauan</t>
  </si>
  <si>
    <t>Nama Penguji</t>
  </si>
  <si>
    <t>Diserahkan Tgl</t>
  </si>
  <si>
    <t>U-ADM</t>
  </si>
  <si>
    <t>Admin Depot</t>
  </si>
  <si>
    <t>1 depot</t>
  </si>
  <si>
    <t>U-OSC1</t>
  </si>
  <si>
    <t>OSC</t>
  </si>
  <si>
    <t>2 depot (untuk menguji penyaring depot)</t>
  </si>
  <si>
    <t>U-OSC2</t>
  </si>
  <si>
    <t>1 depot (untuk menguji penyaring terkunci)</t>
  </si>
  <si>
    <t>U-OSC3</t>
  </si>
  <si>
    <t>OSC yang ditunjuk memegang Claim Process</t>
  </si>
  <si>
    <t>sesuai penunjukan</t>
  </si>
  <si>
    <t>U-SPV</t>
  </si>
  <si>
    <t>Supervisor</t>
  </si>
  <si>
    <t>membina U-OSC1 dan U-OSC2</t>
  </si>
  <si>
    <t>U-DH</t>
  </si>
  <si>
    <t>Depot Head</t>
  </si>
  <si>
    <t>U-MGT</t>
  </si>
  <si>
    <t>Management</t>
  </si>
  <si>
    <t>1 region berisi minimal 2 depot</t>
  </si>
  <si>
    <t>U-SM</t>
  </si>
  <si>
    <t>System Manager</t>
  </si>
  <si>
    <t>seluruhnya</t>
  </si>
  <si>
    <t>DOKUMEN UJI</t>
  </si>
  <si>
    <t>Disiapkan pada depot U-OSC1, minimal 20 dokumen.</t>
  </si>
  <si>
    <t>Jenis CB</t>
  </si>
  <si>
    <t>Keterangan</t>
  </si>
  <si>
    <t>Sudah disiapkan</t>
  </si>
  <si>
    <t>Transfer</t>
  </si>
  <si>
    <t>2 di antaranya pelanggannya belum punya rekening</t>
  </si>
  <si>
    <t>CN</t>
  </si>
  <si>
    <t>untuk menguji Bulk Process</t>
  </si>
  <si>
    <t>Rebate Manual</t>
  </si>
  <si>
    <t>dulu bernama RA07 / RA7</t>
  </si>
  <si>
    <t>(variasi) tanpa KTP &amp; NPWP</t>
  </si>
  <si>
    <t>untuk menguji penolakan</t>
  </si>
  <si>
    <t>(variasi) TOP melebihi Master</t>
  </si>
  <si>
    <t>untuk menguji tab Overdue</t>
  </si>
  <si>
    <t>(variasi) TOP dikosongkan</t>
  </si>
  <si>
    <t>untuk menguji TOP boleh kosong</t>
  </si>
  <si>
    <t>CATATAN PENTING</t>
  </si>
  <si>
    <t>•  Jangan memakai data pelanggan sungguhan untuk mencoba Reject, On Hold atau Expired.</t>
  </si>
  <si>
    <t>•  Selama UAT, tab Email Pengajuan WAJIB dalam Mode Uji. Email tetap terkirim sungguhan tetapi hanya ke alamat penguji - depot tidak menerima apa pun.</t>
  </si>
  <si>
    <t>•  Setiap hasil Gagal wajib disertai tangkapan layar dan nomor dokumen yang dipakai.</t>
  </si>
  <si>
    <t xml:space="preserve">  CATATAN TEMUAN</t>
  </si>
  <si>
    <t>Setiap hasil Gagal dicatat di sini. Jumlahnya terhitung sendiri di sheet Ringkasan.</t>
  </si>
  <si>
    <t>ID Uji</t>
  </si>
  <si>
    <t>Ringkasan temuan</t>
  </si>
  <si>
    <t>Dokumen/batch yang dipakai</t>
  </si>
  <si>
    <t>Bukti</t>
  </si>
  <si>
    <t>Dilaporkan oleh</t>
  </si>
  <si>
    <t>Dokumen TOP 120 muncul di tab WPT, bukan Overdue</t>
  </si>
  <si>
    <t>NPC/CMP/MDN/326C/22027</t>
  </si>
  <si>
    <t>temuan-2-6.png</t>
  </si>
  <si>
    <t>Budi (U-OSC1)</t>
  </si>
  <si>
    <t>25-Sep-2026</t>
  </si>
  <si>
    <t>Baru</t>
  </si>
  <si>
    <t>&lt;- baris contoh, boleh dihapus</t>
  </si>
  <si>
    <t xml:space="preserve">  PERSETUJUAN</t>
  </si>
  <si>
    <t>UAT dinyatakan selesai bila seluruh syarat pada sheet Ringkasan terpenuhi.</t>
  </si>
  <si>
    <t>Nama</t>
  </si>
  <si>
    <t>Tanda tangan</t>
  </si>
  <si>
    <t>Pemilik sistem</t>
  </si>
  <si>
    <t>Perwakilan Depot</t>
  </si>
  <si>
    <t>Perwakilan OSC</t>
  </si>
  <si>
    <t>Perwakilan Supervisor</t>
  </si>
  <si>
    <t>Perwakilan Management</t>
  </si>
  <si>
    <t>Email dikirim pada: Submitted, On Hold, Expired, Approved, Done (Clearing)</t>
  </si>
  <si>
    <t>Tidak dikirim pada: Release, Claim to Finance, Reject, Bulk Process</t>
  </si>
  <si>
    <t xml:space="preserve">OSC yang ditunjuk (U-OSC3) </t>
  </si>
  <si>
    <t>L</t>
  </si>
  <si>
    <t>Role</t>
  </si>
  <si>
    <t>User id</t>
  </si>
  <si>
    <t>Pass</t>
  </si>
  <si>
    <t>kadep</t>
  </si>
  <si>
    <t>user_uat</t>
  </si>
  <si>
    <t>kadep123456</t>
  </si>
  <si>
    <t>spv</t>
  </si>
  <si>
    <t>miranti</t>
  </si>
  <si>
    <t>miranti123456</t>
  </si>
  <si>
    <t>osc 1</t>
  </si>
  <si>
    <t>osc 2</t>
  </si>
  <si>
    <t>iqrima</t>
  </si>
  <si>
    <t>iqrima123456</t>
  </si>
  <si>
    <t>ayi</t>
  </si>
  <si>
    <t>ayi123456</t>
  </si>
  <si>
    <t>system manager</t>
  </si>
  <si>
    <t>rika</t>
  </si>
  <si>
    <t>rika123456</t>
  </si>
  <si>
    <t>SAT</t>
  </si>
  <si>
    <t>Document center</t>
  </si>
  <si>
    <t>sateam</t>
  </si>
  <si>
    <t>sat123456</t>
  </si>
  <si>
    <t>z</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</si>
</sst>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4"/>
      <color rgb="FFFFFFFF"/>
      <name val="Arial"/>
      <family val="2"/>
    </font>
    <font>
      <i/>
      <sz val="9"/>
      <color rgb="FF5F6368"/>
      <name val="Arial"/>
      <family val="2"/>
    </font>
    <font>
      <sz val="9"/>
      <color rgb="FF5F6368"/>
      <name val="Arial"/>
      <family val="2"/>
    </font>
    <font>
      <b/>
      <sz val="10"/>
      <color rgb="FFFFFFFF"/>
      <name val="Arial"/>
      <family val="2"/>
    </font>
    <font>
      <sz val="10"/>
      <name val="Arial"/>
      <family val="2"/>
    </font>
    <font>
      <b/>
      <sz val="10"/>
      <name val="Arial"/>
      <family val="2"/>
    </font>
    <font>
      <b/>
      <sz val="11"/>
      <color rgb="FFFFFFFF"/>
      <name val="Arial"/>
      <family val="2"/>
    </font>
    <font>
      <b/>
      <sz val="12"/>
      <color rgb="FFFFFFFF"/>
      <name val="Arial"/>
      <family val="2"/>
    </font>
    <font>
      <b/>
      <sz val="10"/>
      <color rgb="FF202124"/>
      <name val="Arial"/>
      <family val="2"/>
    </font>
    <font>
      <b/>
      <sz val="11"/>
      <name val="Arial"/>
      <family val="2"/>
    </font>
    <font>
      <i/>
      <sz val="10"/>
      <color rgb="FF8A8D91"/>
      <name val="Arial"/>
      <family val="2"/>
    </font>
    <font>
      <i/>
      <sz val="9"/>
      <color rgb="FF8A8D91"/>
      <name val="Arial"/>
      <family val="2"/>
    </font>
  </fonts>
  <fills count="6">
    <fill>
      <patternFill patternType="none"/>
    </fill>
    <fill>
      <patternFill patternType="gray125"/>
    </fill>
    <fill>
      <patternFill patternType="solid">
        <fgColor rgb="FFC8102E"/>
      </patternFill>
    </fill>
    <fill>
      <patternFill patternType="solid">
        <fgColor rgb="FF4A4A4A"/>
      </patternFill>
    </fill>
    <fill>
      <patternFill patternType="solid">
        <fgColor rgb="FFFFF7D6"/>
      </patternFill>
    </fill>
    <fill>
      <patternFill patternType="solid">
        <fgColor rgb="FFF2F3F5"/>
      </patternFill>
    </fill>
  </fills>
  <borders count="2">
    <border>
      <left/>
      <right/>
      <top/>
      <bottom/>
      <diagonal/>
    </border>
    <border>
      <left style="thin">
        <color rgb="FFD6D8DB"/>
      </left>
      <right style="thin">
        <color rgb="FFD6D8DB"/>
      </right>
      <top style="thin">
        <color rgb="FFD6D8DB"/>
      </top>
      <bottom style="thin">
        <color rgb="FFD6D8DB"/>
      </bottom>
      <diagonal/>
    </border>
  </borders>
  <cellStyleXfs count="1">
    <xf numFmtId="0" fontId="0" fillId="0" borderId="0"/>
  </cellStyleXfs>
  <cellXfs count="37">
    <xf numFmtId="0" fontId="0" fillId="0" borderId="0" xfId="0"/>
    <xf numFmtId="0" fontId="2" fillId="0" borderId="0" xfId="0" applyFont="1"/>
    <xf numFmtId="0" fontId="4"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left" vertical="center"/>
    </xf>
    <xf numFmtId="0" fontId="5" fillId="0" borderId="1" xfId="0" applyFont="1" applyBorder="1" applyAlignment="1">
      <alignment horizontal="left" vertical="center"/>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xf numFmtId="0" fontId="5" fillId="0" borderId="1" xfId="0" applyFont="1" applyBorder="1"/>
    <xf numFmtId="0" fontId="6" fillId="0" borderId="0" xfId="0" applyFont="1"/>
    <xf numFmtId="0" fontId="5" fillId="4" borderId="1" xfId="0" applyFont="1" applyFill="1" applyBorder="1"/>
    <xf numFmtId="0" fontId="5" fillId="0" borderId="0" xfId="0" applyFont="1"/>
    <xf numFmtId="0" fontId="5" fillId="0" borderId="1" xfId="0" applyFont="1" applyBorder="1" applyAlignment="1">
      <alignment horizontal="center" vertical="top"/>
    </xf>
    <xf numFmtId="0" fontId="5" fillId="0" borderId="1" xfId="0" applyFont="1" applyBorder="1" applyAlignment="1">
      <alignment horizontal="left" vertical="top" wrapText="1"/>
    </xf>
    <xf numFmtId="0" fontId="5" fillId="4" borderId="1" xfId="0" applyFont="1" applyFill="1" applyBorder="1" applyAlignment="1">
      <alignment horizontal="center" vertical="top"/>
    </xf>
    <xf numFmtId="0" fontId="5" fillId="4" borderId="1" xfId="0" applyFont="1" applyFill="1" applyBorder="1" applyAlignment="1">
      <alignment horizontal="left" vertical="top" wrapText="1"/>
    </xf>
    <xf numFmtId="0" fontId="10" fillId="0" borderId="0" xfId="0" applyFont="1"/>
    <xf numFmtId="0" fontId="4" fillId="3" borderId="1" xfId="0" applyFont="1" applyFill="1" applyBorder="1"/>
    <xf numFmtId="0" fontId="5" fillId="0" borderId="1" xfId="0" applyFont="1" applyBorder="1" applyAlignment="1">
      <alignment vertical="center"/>
    </xf>
    <xf numFmtId="0" fontId="5" fillId="0" borderId="1" xfId="0" applyFont="1" applyBorder="1" applyAlignment="1">
      <alignment vertical="center" wrapText="1"/>
    </xf>
    <xf numFmtId="0" fontId="5" fillId="4" borderId="1" xfId="0" applyFont="1" applyFill="1" applyBorder="1" applyAlignment="1">
      <alignment vertical="center"/>
    </xf>
    <xf numFmtId="0" fontId="11" fillId="0" borderId="1" xfId="0" applyFont="1" applyBorder="1" applyAlignment="1">
      <alignment vertical="top"/>
    </xf>
    <xf numFmtId="0" fontId="11" fillId="0" borderId="1" xfId="0" applyFont="1" applyBorder="1" applyAlignment="1">
      <alignment vertical="top" wrapText="1"/>
    </xf>
    <xf numFmtId="0" fontId="12" fillId="0" borderId="0" xfId="0" applyFont="1"/>
    <xf numFmtId="0" fontId="5" fillId="4" borderId="1" xfId="0" applyFont="1" applyFill="1" applyBorder="1" applyAlignment="1">
      <alignment vertical="top"/>
    </xf>
    <xf numFmtId="0" fontId="5" fillId="4" borderId="1" xfId="0" applyFont="1" applyFill="1" applyBorder="1" applyAlignment="1">
      <alignment vertical="top" wrapText="1"/>
    </xf>
    <xf numFmtId="0" fontId="2" fillId="0" borderId="0" xfId="0" applyFont="1"/>
    <xf numFmtId="0" fontId="0" fillId="0" borderId="0" xfId="0"/>
    <xf numFmtId="0" fontId="1" fillId="2" borderId="0" xfId="0" applyFont="1" applyFill="1" applyAlignment="1">
      <alignment vertical="center"/>
    </xf>
    <xf numFmtId="0" fontId="7" fillId="2" borderId="0" xfId="0" applyFont="1" applyFill="1" applyAlignment="1">
      <alignment vertical="center"/>
    </xf>
    <xf numFmtId="0" fontId="3" fillId="0" borderId="0" xfId="0" applyFont="1"/>
    <xf numFmtId="0" fontId="8" fillId="2" borderId="0" xfId="0" applyFont="1" applyFill="1" applyAlignment="1">
      <alignment vertical="center"/>
    </xf>
    <xf numFmtId="0" fontId="9" fillId="5" borderId="0" xfId="0" applyFont="1" applyFill="1" applyAlignment="1">
      <alignment vertical="center"/>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pane ySplit="4" topLeftCell="A5" activePane="bottomLeft" state="frozen"/>
      <selection pane="bottomLeft" activeCell="F5" sqref="F5"/>
    </sheetView>
  </sheetViews>
  <sheetFormatPr defaultRowHeight="14.4" x14ac:dyDescent="0.3"/>
  <cols>
    <col min="1" max="1" width="6" customWidth="1"/>
    <col min="2" max="3" width="10" customWidth="1"/>
    <col min="4" max="4" width="52" customWidth="1"/>
    <col min="5" max="5" width="26" customWidth="1"/>
    <col min="6" max="7" width="20" customWidth="1"/>
    <col min="8" max="8" width="13" customWidth="1"/>
    <col min="9" max="9" width="16" customWidth="1"/>
  </cols>
  <sheetData>
    <row r="1" spans="1:11" ht="15.6" x14ac:dyDescent="0.3">
      <c r="A1" s="34" t="s">
        <v>675</v>
      </c>
      <c r="B1" s="30"/>
      <c r="C1" s="30"/>
      <c r="D1" s="30"/>
      <c r="E1" s="30"/>
      <c r="F1" s="30"/>
      <c r="G1" s="30"/>
      <c r="H1" s="30"/>
      <c r="I1" s="30"/>
    </row>
    <row r="2" spans="1:11" x14ac:dyDescent="0.3">
      <c r="A2" s="29" t="s">
        <v>676</v>
      </c>
      <c r="B2" s="30"/>
      <c r="C2" s="30"/>
      <c r="D2" s="30"/>
      <c r="E2" s="30"/>
      <c r="F2" s="30"/>
      <c r="G2" s="30"/>
      <c r="H2" s="30"/>
      <c r="I2" s="30"/>
    </row>
    <row r="4" spans="1:11" ht="25.95" customHeight="1" x14ac:dyDescent="0.3">
      <c r="A4" s="2" t="s">
        <v>3</v>
      </c>
      <c r="B4" s="2" t="s">
        <v>677</v>
      </c>
      <c r="C4" s="2" t="s">
        <v>53</v>
      </c>
      <c r="D4" s="2" t="s">
        <v>678</v>
      </c>
      <c r="E4" s="2" t="s">
        <v>679</v>
      </c>
      <c r="F4" s="2" t="s">
        <v>680</v>
      </c>
      <c r="G4" s="2" t="s">
        <v>681</v>
      </c>
      <c r="H4" s="2" t="s">
        <v>13</v>
      </c>
      <c r="I4" s="2" t="s">
        <v>14</v>
      </c>
    </row>
    <row r="5" spans="1:11" x14ac:dyDescent="0.3">
      <c r="A5" s="24">
        <v>1</v>
      </c>
      <c r="B5" s="24" t="s">
        <v>201</v>
      </c>
      <c r="C5" s="24" t="s">
        <v>59</v>
      </c>
      <c r="D5" s="25" t="s">
        <v>682</v>
      </c>
      <c r="E5" s="24" t="s">
        <v>683</v>
      </c>
      <c r="F5" s="24" t="s">
        <v>684</v>
      </c>
      <c r="G5" s="24" t="s">
        <v>685</v>
      </c>
      <c r="H5" s="24" t="s">
        <v>686</v>
      </c>
      <c r="I5" s="24" t="s">
        <v>687</v>
      </c>
      <c r="K5" s="26" t="s">
        <v>688</v>
      </c>
    </row>
    <row r="6" spans="1:11" x14ac:dyDescent="0.3">
      <c r="A6" s="27"/>
      <c r="B6" s="27"/>
      <c r="C6" s="27"/>
      <c r="D6" s="28"/>
      <c r="E6" s="27"/>
      <c r="F6" s="27"/>
      <c r="G6" s="27"/>
      <c r="H6" s="27"/>
      <c r="I6" s="27"/>
    </row>
    <row r="7" spans="1:11" x14ac:dyDescent="0.3">
      <c r="A7" s="27"/>
      <c r="B7" s="27"/>
      <c r="C7" s="27"/>
      <c r="D7" s="28"/>
      <c r="E7" s="27"/>
      <c r="F7" s="27"/>
      <c r="G7" s="27"/>
      <c r="H7" s="27"/>
      <c r="I7" s="27"/>
    </row>
    <row r="8" spans="1:11" x14ac:dyDescent="0.3">
      <c r="A8" s="27"/>
      <c r="B8" s="27"/>
      <c r="C8" s="27"/>
      <c r="D8" s="28"/>
      <c r="E8" s="27"/>
      <c r="F8" s="27"/>
      <c r="G8" s="27"/>
      <c r="H8" s="27"/>
      <c r="I8" s="27"/>
    </row>
    <row r="9" spans="1:11" x14ac:dyDescent="0.3">
      <c r="A9" s="27"/>
      <c r="B9" s="27"/>
      <c r="C9" s="27"/>
      <c r="D9" s="28"/>
      <c r="E9" s="27"/>
      <c r="F9" s="27"/>
      <c r="G9" s="27"/>
      <c r="H9" s="27"/>
      <c r="I9" s="27"/>
    </row>
    <row r="10" spans="1:11" x14ac:dyDescent="0.3">
      <c r="A10" s="27"/>
      <c r="B10" s="27"/>
      <c r="C10" s="27"/>
      <c r="D10" s="28"/>
      <c r="E10" s="27"/>
      <c r="F10" s="27"/>
      <c r="G10" s="27"/>
      <c r="H10" s="27"/>
      <c r="I10" s="27"/>
    </row>
    <row r="11" spans="1:11" x14ac:dyDescent="0.3">
      <c r="A11" s="27"/>
      <c r="B11" s="27"/>
      <c r="C11" s="27"/>
      <c r="D11" s="28"/>
      <c r="E11" s="27"/>
      <c r="F11" s="27"/>
      <c r="G11" s="27"/>
      <c r="H11" s="27"/>
      <c r="I11" s="27"/>
    </row>
    <row r="12" spans="1:11" x14ac:dyDescent="0.3">
      <c r="A12" s="27"/>
      <c r="B12" s="27"/>
      <c r="C12" s="27"/>
      <c r="D12" s="28"/>
      <c r="E12" s="27"/>
      <c r="F12" s="27"/>
      <c r="G12" s="27"/>
      <c r="H12" s="27"/>
      <c r="I12" s="27"/>
    </row>
    <row r="13" spans="1:11" x14ac:dyDescent="0.3">
      <c r="A13" s="27"/>
      <c r="B13" s="27"/>
      <c r="C13" s="27"/>
      <c r="D13" s="28"/>
      <c r="E13" s="27"/>
      <c r="F13" s="27"/>
      <c r="G13" s="27"/>
      <c r="H13" s="27"/>
      <c r="I13" s="27"/>
    </row>
    <row r="14" spans="1:11" x14ac:dyDescent="0.3">
      <c r="A14" s="27"/>
      <c r="B14" s="27"/>
      <c r="C14" s="27"/>
      <c r="D14" s="28"/>
      <c r="E14" s="27"/>
      <c r="F14" s="27"/>
      <c r="G14" s="27"/>
      <c r="H14" s="27"/>
      <c r="I14" s="27"/>
    </row>
    <row r="15" spans="1:11" x14ac:dyDescent="0.3">
      <c r="A15" s="27"/>
      <c r="B15" s="27"/>
      <c r="C15" s="27"/>
      <c r="D15" s="28"/>
      <c r="E15" s="27"/>
      <c r="F15" s="27"/>
      <c r="G15" s="27"/>
      <c r="H15" s="27"/>
      <c r="I15" s="27"/>
    </row>
    <row r="16" spans="1:11" x14ac:dyDescent="0.3">
      <c r="A16" s="27"/>
      <c r="B16" s="27"/>
      <c r="C16" s="27"/>
      <c r="D16" s="28"/>
      <c r="E16" s="27"/>
      <c r="F16" s="27"/>
      <c r="G16" s="27"/>
      <c r="H16" s="27"/>
      <c r="I16" s="27"/>
    </row>
    <row r="17" spans="1:9" x14ac:dyDescent="0.3">
      <c r="A17" s="27"/>
      <c r="B17" s="27"/>
      <c r="C17" s="27"/>
      <c r="D17" s="28"/>
      <c r="E17" s="27"/>
      <c r="F17" s="27"/>
      <c r="G17" s="27"/>
      <c r="H17" s="27"/>
      <c r="I17" s="27"/>
    </row>
    <row r="18" spans="1:9" x14ac:dyDescent="0.3">
      <c r="A18" s="27"/>
      <c r="B18" s="27"/>
      <c r="C18" s="27"/>
      <c r="D18" s="28"/>
      <c r="E18" s="27"/>
      <c r="F18" s="27"/>
      <c r="G18" s="27"/>
      <c r="H18" s="27"/>
      <c r="I18" s="27"/>
    </row>
    <row r="19" spans="1:9" x14ac:dyDescent="0.3">
      <c r="A19" s="27"/>
      <c r="B19" s="27"/>
      <c r="C19" s="27"/>
      <c r="D19" s="28"/>
      <c r="E19" s="27"/>
      <c r="F19" s="27"/>
      <c r="G19" s="27"/>
      <c r="H19" s="27"/>
      <c r="I19" s="27"/>
    </row>
    <row r="20" spans="1:9" x14ac:dyDescent="0.3">
      <c r="A20" s="27"/>
      <c r="B20" s="27"/>
      <c r="C20" s="27"/>
      <c r="D20" s="28"/>
      <c r="E20" s="27"/>
      <c r="F20" s="27"/>
      <c r="G20" s="27"/>
      <c r="H20" s="27"/>
      <c r="I20" s="27"/>
    </row>
    <row r="21" spans="1:9" x14ac:dyDescent="0.3">
      <c r="A21" s="27"/>
      <c r="B21" s="27"/>
      <c r="C21" s="27"/>
      <c r="D21" s="28"/>
      <c r="E21" s="27"/>
      <c r="F21" s="27"/>
      <c r="G21" s="27"/>
      <c r="H21" s="27"/>
      <c r="I21" s="27"/>
    </row>
    <row r="22" spans="1:9" x14ac:dyDescent="0.3">
      <c r="A22" s="27"/>
      <c r="B22" s="27"/>
      <c r="C22" s="27"/>
      <c r="D22" s="28"/>
      <c r="E22" s="27"/>
      <c r="F22" s="27"/>
      <c r="G22" s="27"/>
      <c r="H22" s="27"/>
      <c r="I22" s="27"/>
    </row>
    <row r="23" spans="1:9" x14ac:dyDescent="0.3">
      <c r="A23" s="27"/>
      <c r="B23" s="27"/>
      <c r="C23" s="27"/>
      <c r="D23" s="28"/>
      <c r="E23" s="27"/>
      <c r="F23" s="27"/>
      <c r="G23" s="27"/>
      <c r="H23" s="27"/>
      <c r="I23" s="27"/>
    </row>
    <row r="24" spans="1:9" x14ac:dyDescent="0.3">
      <c r="A24" s="27"/>
      <c r="B24" s="27"/>
      <c r="C24" s="27"/>
      <c r="D24" s="28"/>
      <c r="E24" s="27"/>
      <c r="F24" s="27"/>
      <c r="G24" s="27"/>
      <c r="H24" s="27"/>
      <c r="I24" s="27"/>
    </row>
    <row r="25" spans="1:9" x14ac:dyDescent="0.3">
      <c r="A25" s="27"/>
      <c r="B25" s="27"/>
      <c r="C25" s="27"/>
      <c r="D25" s="28"/>
      <c r="E25" s="27"/>
      <c r="F25" s="27"/>
      <c r="G25" s="27"/>
      <c r="H25" s="27"/>
      <c r="I25" s="27"/>
    </row>
    <row r="26" spans="1:9" x14ac:dyDescent="0.3">
      <c r="A26" s="27"/>
      <c r="B26" s="27"/>
      <c r="C26" s="27"/>
      <c r="D26" s="28"/>
      <c r="E26" s="27"/>
      <c r="F26" s="27"/>
      <c r="G26" s="27"/>
      <c r="H26" s="27"/>
      <c r="I26" s="27"/>
    </row>
    <row r="27" spans="1:9" x14ac:dyDescent="0.3">
      <c r="A27" s="27"/>
      <c r="B27" s="27"/>
      <c r="C27" s="27"/>
      <c r="D27" s="28"/>
      <c r="E27" s="27"/>
      <c r="F27" s="27"/>
      <c r="G27" s="27"/>
      <c r="H27" s="27"/>
      <c r="I27" s="27"/>
    </row>
    <row r="28" spans="1:9" x14ac:dyDescent="0.3">
      <c r="A28" s="27"/>
      <c r="B28" s="27"/>
      <c r="C28" s="27"/>
      <c r="D28" s="28"/>
      <c r="E28" s="27"/>
      <c r="F28" s="27"/>
      <c r="G28" s="27"/>
      <c r="H28" s="27"/>
      <c r="I28" s="27"/>
    </row>
    <row r="29" spans="1:9" x14ac:dyDescent="0.3">
      <c r="A29" s="27"/>
      <c r="B29" s="27"/>
      <c r="C29" s="27"/>
      <c r="D29" s="28"/>
      <c r="E29" s="27"/>
      <c r="F29" s="27"/>
      <c r="G29" s="27"/>
      <c r="H29" s="27"/>
      <c r="I29" s="27"/>
    </row>
    <row r="30" spans="1:9" x14ac:dyDescent="0.3">
      <c r="A30" s="27"/>
      <c r="B30" s="27"/>
      <c r="C30" s="27"/>
      <c r="D30" s="28"/>
      <c r="E30" s="27"/>
      <c r="F30" s="27"/>
      <c r="G30" s="27"/>
      <c r="H30" s="27"/>
      <c r="I30" s="27"/>
    </row>
    <row r="31" spans="1:9" x14ac:dyDescent="0.3">
      <c r="A31" s="27"/>
      <c r="B31" s="27"/>
      <c r="C31" s="27"/>
      <c r="D31" s="28"/>
      <c r="E31" s="27"/>
      <c r="F31" s="27"/>
      <c r="G31" s="27"/>
      <c r="H31" s="27"/>
      <c r="I31" s="27"/>
    </row>
    <row r="32" spans="1:9" x14ac:dyDescent="0.3">
      <c r="A32" s="27"/>
      <c r="B32" s="27"/>
      <c r="C32" s="27"/>
      <c r="D32" s="28"/>
      <c r="E32" s="27"/>
      <c r="F32" s="27"/>
      <c r="G32" s="27"/>
      <c r="H32" s="27"/>
      <c r="I32" s="27"/>
    </row>
    <row r="33" spans="1:9" x14ac:dyDescent="0.3">
      <c r="A33" s="27"/>
      <c r="B33" s="27"/>
      <c r="C33" s="27"/>
      <c r="D33" s="28"/>
      <c r="E33" s="27"/>
      <c r="F33" s="27"/>
      <c r="G33" s="27"/>
      <c r="H33" s="27"/>
      <c r="I33" s="27"/>
    </row>
    <row r="34" spans="1:9" x14ac:dyDescent="0.3">
      <c r="A34" s="27"/>
      <c r="B34" s="27"/>
      <c r="C34" s="27"/>
      <c r="D34" s="28"/>
      <c r="E34" s="27"/>
      <c r="F34" s="27"/>
      <c r="G34" s="27"/>
      <c r="H34" s="27"/>
      <c r="I34" s="27"/>
    </row>
    <row r="35" spans="1:9" x14ac:dyDescent="0.3">
      <c r="A35" s="27"/>
      <c r="B35" s="27"/>
      <c r="C35" s="27"/>
      <c r="D35" s="28"/>
      <c r="E35" s="27"/>
      <c r="F35" s="27"/>
      <c r="G35" s="27"/>
      <c r="H35" s="27"/>
      <c r="I35" s="27"/>
    </row>
    <row r="36" spans="1:9" x14ac:dyDescent="0.3">
      <c r="A36" s="27"/>
      <c r="B36" s="27"/>
      <c r="C36" s="27"/>
      <c r="D36" s="28"/>
      <c r="E36" s="27"/>
      <c r="F36" s="27"/>
      <c r="G36" s="27"/>
      <c r="H36" s="27"/>
      <c r="I36" s="27"/>
    </row>
    <row r="37" spans="1:9" x14ac:dyDescent="0.3">
      <c r="A37" s="27"/>
      <c r="B37" s="27"/>
      <c r="C37" s="27"/>
      <c r="D37" s="28"/>
      <c r="E37" s="27"/>
      <c r="F37" s="27"/>
      <c r="G37" s="27"/>
      <c r="H37" s="27"/>
      <c r="I37" s="27"/>
    </row>
    <row r="38" spans="1:9" x14ac:dyDescent="0.3">
      <c r="A38" s="27"/>
      <c r="B38" s="27"/>
      <c r="C38" s="27"/>
      <c r="D38" s="28"/>
      <c r="E38" s="27"/>
      <c r="F38" s="27"/>
      <c r="G38" s="27"/>
      <c r="H38" s="27"/>
      <c r="I38" s="27"/>
    </row>
    <row r="39" spans="1:9" x14ac:dyDescent="0.3">
      <c r="A39" s="27"/>
      <c r="B39" s="27"/>
      <c r="C39" s="27"/>
      <c r="D39" s="28"/>
      <c r="E39" s="27"/>
      <c r="F39" s="27"/>
      <c r="G39" s="27"/>
      <c r="H39" s="27"/>
      <c r="I39" s="27"/>
    </row>
    <row r="40" spans="1:9" x14ac:dyDescent="0.3">
      <c r="A40" s="27"/>
      <c r="B40" s="27"/>
      <c r="C40" s="27"/>
      <c r="D40" s="28"/>
      <c r="E40" s="27"/>
      <c r="F40" s="27"/>
      <c r="G40" s="27"/>
      <c r="H40" s="27"/>
      <c r="I40" s="27"/>
    </row>
    <row r="41" spans="1:9" x14ac:dyDescent="0.3">
      <c r="A41" s="27"/>
      <c r="B41" s="27"/>
      <c r="C41" s="27"/>
      <c r="D41" s="28"/>
      <c r="E41" s="27"/>
      <c r="F41" s="27"/>
      <c r="G41" s="27"/>
      <c r="H41" s="27"/>
      <c r="I41" s="27"/>
    </row>
    <row r="42" spans="1:9" x14ac:dyDescent="0.3">
      <c r="A42" s="27"/>
      <c r="B42" s="27"/>
      <c r="C42" s="27"/>
      <c r="D42" s="28"/>
      <c r="E42" s="27"/>
      <c r="F42" s="27"/>
      <c r="G42" s="27"/>
      <c r="H42" s="27"/>
      <c r="I42" s="27"/>
    </row>
    <row r="43" spans="1:9" x14ac:dyDescent="0.3">
      <c r="A43" s="27"/>
      <c r="B43" s="27"/>
      <c r="C43" s="27"/>
      <c r="D43" s="28"/>
      <c r="E43" s="27"/>
      <c r="F43" s="27"/>
      <c r="G43" s="27"/>
      <c r="H43" s="27"/>
      <c r="I43" s="27"/>
    </row>
    <row r="44" spans="1:9" x14ac:dyDescent="0.3">
      <c r="A44" s="27"/>
      <c r="B44" s="27"/>
      <c r="C44" s="27"/>
      <c r="D44" s="28"/>
      <c r="E44" s="27"/>
      <c r="F44" s="27"/>
      <c r="G44" s="27"/>
      <c r="H44" s="27"/>
      <c r="I44" s="27"/>
    </row>
    <row r="45" spans="1:9" x14ac:dyDescent="0.3">
      <c r="A45" s="27"/>
      <c r="B45" s="27"/>
      <c r="C45" s="27"/>
      <c r="D45" s="28"/>
      <c r="E45" s="27"/>
      <c r="F45" s="27"/>
      <c r="G45" s="27"/>
      <c r="H45" s="27"/>
      <c r="I45" s="27"/>
    </row>
    <row r="46" spans="1:9" x14ac:dyDescent="0.3">
      <c r="A46" s="27"/>
      <c r="B46" s="27"/>
      <c r="C46" s="27"/>
      <c r="D46" s="28"/>
      <c r="E46" s="27"/>
      <c r="F46" s="27"/>
      <c r="G46" s="27"/>
      <c r="H46" s="27"/>
      <c r="I46" s="27"/>
    </row>
    <row r="47" spans="1:9" x14ac:dyDescent="0.3">
      <c r="A47" s="27"/>
      <c r="B47" s="27"/>
      <c r="C47" s="27"/>
      <c r="D47" s="28"/>
      <c r="E47" s="27"/>
      <c r="F47" s="27"/>
      <c r="G47" s="27"/>
      <c r="H47" s="27"/>
      <c r="I47" s="27"/>
    </row>
    <row r="48" spans="1:9" x14ac:dyDescent="0.3">
      <c r="A48" s="27"/>
      <c r="B48" s="27"/>
      <c r="C48" s="27"/>
      <c r="D48" s="28"/>
      <c r="E48" s="27"/>
      <c r="F48" s="27"/>
      <c r="G48" s="27"/>
      <c r="H48" s="27"/>
      <c r="I48" s="27"/>
    </row>
    <row r="49" spans="1:9" x14ac:dyDescent="0.3">
      <c r="A49" s="27"/>
      <c r="B49" s="27"/>
      <c r="C49" s="27"/>
      <c r="D49" s="28"/>
      <c r="E49" s="27"/>
      <c r="F49" s="27"/>
      <c r="G49" s="27"/>
      <c r="H49" s="27"/>
      <c r="I49" s="27"/>
    </row>
    <row r="50" spans="1:9" x14ac:dyDescent="0.3">
      <c r="A50" s="27"/>
      <c r="B50" s="27"/>
      <c r="C50" s="27"/>
      <c r="D50" s="28"/>
      <c r="E50" s="27"/>
      <c r="F50" s="27"/>
      <c r="G50" s="27"/>
      <c r="H50" s="27"/>
      <c r="I50" s="27"/>
    </row>
    <row r="51" spans="1:9" x14ac:dyDescent="0.3">
      <c r="A51" s="27"/>
      <c r="B51" s="27"/>
      <c r="C51" s="27"/>
      <c r="D51" s="28"/>
      <c r="E51" s="27"/>
      <c r="F51" s="27"/>
      <c r="G51" s="27"/>
      <c r="H51" s="27"/>
      <c r="I51" s="27"/>
    </row>
    <row r="52" spans="1:9" x14ac:dyDescent="0.3">
      <c r="A52" s="27"/>
      <c r="B52" s="27"/>
      <c r="C52" s="27"/>
      <c r="D52" s="28"/>
      <c r="E52" s="27"/>
      <c r="F52" s="27"/>
      <c r="G52" s="27"/>
      <c r="H52" s="27"/>
      <c r="I52" s="27"/>
    </row>
    <row r="53" spans="1:9" x14ac:dyDescent="0.3">
      <c r="A53" s="27"/>
      <c r="B53" s="27"/>
      <c r="C53" s="27"/>
      <c r="D53" s="28"/>
      <c r="E53" s="27"/>
      <c r="F53" s="27"/>
      <c r="G53" s="27"/>
      <c r="H53" s="27"/>
      <c r="I53" s="27"/>
    </row>
    <row r="54" spans="1:9" x14ac:dyDescent="0.3">
      <c r="A54" s="27"/>
      <c r="B54" s="27"/>
      <c r="C54" s="27"/>
      <c r="D54" s="28"/>
      <c r="E54" s="27"/>
      <c r="F54" s="27"/>
      <c r="G54" s="27"/>
      <c r="H54" s="27"/>
      <c r="I54" s="27"/>
    </row>
    <row r="55" spans="1:9" x14ac:dyDescent="0.3">
      <c r="A55" s="27"/>
      <c r="B55" s="27"/>
      <c r="C55" s="27"/>
      <c r="D55" s="28"/>
      <c r="E55" s="27"/>
      <c r="F55" s="27"/>
      <c r="G55" s="27"/>
      <c r="H55" s="27"/>
      <c r="I55" s="27"/>
    </row>
    <row r="56" spans="1:9" x14ac:dyDescent="0.3">
      <c r="A56" s="27"/>
      <c r="B56" s="27"/>
      <c r="C56" s="27"/>
      <c r="D56" s="28"/>
      <c r="E56" s="27"/>
      <c r="F56" s="27"/>
      <c r="G56" s="27"/>
      <c r="H56" s="27"/>
      <c r="I56" s="27"/>
    </row>
    <row r="57" spans="1:9" x14ac:dyDescent="0.3">
      <c r="A57" s="27"/>
      <c r="B57" s="27"/>
      <c r="C57" s="27"/>
      <c r="D57" s="28"/>
      <c r="E57" s="27"/>
      <c r="F57" s="27"/>
      <c r="G57" s="27"/>
      <c r="H57" s="27"/>
      <c r="I57" s="27"/>
    </row>
    <row r="58" spans="1:9" x14ac:dyDescent="0.3">
      <c r="A58" s="27"/>
      <c r="B58" s="27"/>
      <c r="C58" s="27"/>
      <c r="D58" s="28"/>
      <c r="E58" s="27"/>
      <c r="F58" s="27"/>
      <c r="G58" s="27"/>
      <c r="H58" s="27"/>
      <c r="I58" s="27"/>
    </row>
    <row r="59" spans="1:9" x14ac:dyDescent="0.3">
      <c r="A59" s="27"/>
      <c r="B59" s="27"/>
      <c r="C59" s="27"/>
      <c r="D59" s="28"/>
      <c r="E59" s="27"/>
      <c r="F59" s="27"/>
      <c r="G59" s="27"/>
      <c r="H59" s="27"/>
      <c r="I59" s="27"/>
    </row>
  </sheetData>
  <mergeCells count="2">
    <mergeCell ref="A1:I1"/>
    <mergeCell ref="A2:I2"/>
  </mergeCells>
  <dataValidations count="2">
    <dataValidation type="list" allowBlank="1" sqref="C6 C7 C8 C9 C10 C11 C12 C13 C14 C15 C16 C17 C18 C19 C20 C21 C22 C23 C24 C25 C26 C27 C28 C29 C30 C31 C32 C33 C34 C35 C36 C37 C38 C39 C40 C41 C42 C43 C44 C45 C46 C47 C48 C49 C50 C51 C52 C53 C54 C55 C56 C57 C58 C59">
      <formula1>"S1,S2,S3,S4"</formula1>
    </dataValidation>
    <dataValidation type="list" allowBlank="1" sqref="I6 I7 I8 I9 I10 I11 I12 I13 I14 I15 I16 I17 I18 I19 I20 I21 I22 I23 I24 I25 I26 I27 I28 I29 I30 I31 I32 I33 I34 I35 I36 I37 I38 I39 I40 I41 I42 I43 I44 I45 I46 I47 I48 I49 I50 I51 I52 I53 I54 I55 I56 I57 I58 I59">
      <formula1>"Baru,Sedang diperbaiki,Sudah diperbaiki,Perlu diuji ulang,Ditutup"</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topLeftCell="A13" workbookViewId="0">
      <selection activeCell="A38" sqref="A38"/>
    </sheetView>
  </sheetViews>
  <sheetFormatPr defaultRowHeight="14.4" x14ac:dyDescent="0.3"/>
  <cols>
    <col min="1" max="1" width="12" customWidth="1"/>
    <col min="2" max="2" width="44" customWidth="1"/>
    <col min="3" max="3" width="40" customWidth="1"/>
    <col min="4" max="4" width="24" customWidth="1"/>
    <col min="5" max="5" width="16" customWidth="1"/>
  </cols>
  <sheetData>
    <row r="1" spans="1:5" ht="15.6" x14ac:dyDescent="0.3">
      <c r="A1" s="34" t="s">
        <v>624</v>
      </c>
      <c r="B1" s="30"/>
      <c r="C1" s="30"/>
      <c r="D1" s="30"/>
      <c r="E1" s="30"/>
    </row>
    <row r="3" spans="1:5" x14ac:dyDescent="0.3">
      <c r="A3" s="19" t="s">
        <v>625</v>
      </c>
    </row>
    <row r="4" spans="1:5" x14ac:dyDescent="0.3">
      <c r="A4" s="29" t="s">
        <v>626</v>
      </c>
      <c r="B4" s="30"/>
      <c r="C4" s="30"/>
      <c r="D4" s="30"/>
      <c r="E4" s="30"/>
    </row>
    <row r="6" spans="1:5" x14ac:dyDescent="0.3">
      <c r="A6" s="20" t="s">
        <v>627</v>
      </c>
      <c r="B6" s="20" t="s">
        <v>628</v>
      </c>
      <c r="C6" s="20" t="s">
        <v>629</v>
      </c>
      <c r="D6" s="20" t="s">
        <v>630</v>
      </c>
      <c r="E6" s="20" t="s">
        <v>631</v>
      </c>
    </row>
    <row r="7" spans="1:5" x14ac:dyDescent="0.3">
      <c r="A7" s="21" t="s">
        <v>632</v>
      </c>
      <c r="B7" s="22" t="s">
        <v>633</v>
      </c>
      <c r="C7" s="22" t="s">
        <v>634</v>
      </c>
      <c r="D7" s="23"/>
      <c r="E7" s="23"/>
    </row>
    <row r="8" spans="1:5" x14ac:dyDescent="0.3">
      <c r="A8" s="21" t="s">
        <v>635</v>
      </c>
      <c r="B8" s="22" t="s">
        <v>636</v>
      </c>
      <c r="C8" s="22" t="s">
        <v>637</v>
      </c>
      <c r="D8" s="23"/>
      <c r="E8" s="23"/>
    </row>
    <row r="9" spans="1:5" x14ac:dyDescent="0.3">
      <c r="A9" s="21" t="s">
        <v>638</v>
      </c>
      <c r="B9" s="22" t="s">
        <v>636</v>
      </c>
      <c r="C9" s="22" t="s">
        <v>639</v>
      </c>
      <c r="D9" s="23"/>
      <c r="E9" s="23"/>
    </row>
    <row r="10" spans="1:5" x14ac:dyDescent="0.3">
      <c r="A10" s="21" t="s">
        <v>640</v>
      </c>
      <c r="B10" s="22" t="s">
        <v>641</v>
      </c>
      <c r="C10" s="22" t="s">
        <v>642</v>
      </c>
      <c r="D10" s="23"/>
      <c r="E10" s="23"/>
    </row>
    <row r="11" spans="1:5" x14ac:dyDescent="0.3">
      <c r="A11" s="21" t="s">
        <v>643</v>
      </c>
      <c r="B11" s="22" t="s">
        <v>644</v>
      </c>
      <c r="C11" s="22" t="s">
        <v>645</v>
      </c>
      <c r="D11" s="23"/>
      <c r="E11" s="23"/>
    </row>
    <row r="12" spans="1:5" x14ac:dyDescent="0.3">
      <c r="A12" s="21" t="s">
        <v>646</v>
      </c>
      <c r="B12" s="22" t="s">
        <v>647</v>
      </c>
      <c r="C12" s="22" t="s">
        <v>634</v>
      </c>
      <c r="D12" s="23"/>
      <c r="E12" s="23"/>
    </row>
    <row r="13" spans="1:5" x14ac:dyDescent="0.3">
      <c r="A13" s="21" t="s">
        <v>648</v>
      </c>
      <c r="B13" s="22" t="s">
        <v>649</v>
      </c>
      <c r="C13" s="22" t="s">
        <v>650</v>
      </c>
      <c r="D13" s="23"/>
      <c r="E13" s="23"/>
    </row>
    <row r="14" spans="1:5" x14ac:dyDescent="0.3">
      <c r="A14" s="21" t="s">
        <v>651</v>
      </c>
      <c r="B14" s="22" t="s">
        <v>652</v>
      </c>
      <c r="C14" s="22" t="s">
        <v>653</v>
      </c>
      <c r="D14" s="23"/>
      <c r="E14" s="23"/>
    </row>
    <row r="17" spans="1:5" x14ac:dyDescent="0.3">
      <c r="A17" s="19" t="s">
        <v>654</v>
      </c>
    </row>
    <row r="18" spans="1:5" x14ac:dyDescent="0.3">
      <c r="A18" s="1" t="s">
        <v>655</v>
      </c>
    </row>
    <row r="20" spans="1:5" x14ac:dyDescent="0.3">
      <c r="A20" s="20" t="s">
        <v>656</v>
      </c>
      <c r="B20" s="20" t="s">
        <v>55</v>
      </c>
      <c r="C20" s="20" t="s">
        <v>657</v>
      </c>
      <c r="D20" s="20" t="s">
        <v>658</v>
      </c>
    </row>
    <row r="21" spans="1:5" ht="26.4" x14ac:dyDescent="0.3">
      <c r="A21" s="7" t="s">
        <v>659</v>
      </c>
      <c r="B21" s="3">
        <v>5</v>
      </c>
      <c r="C21" s="4" t="s">
        <v>660</v>
      </c>
      <c r="D21" s="6"/>
    </row>
    <row r="22" spans="1:5" x14ac:dyDescent="0.3">
      <c r="A22" s="7" t="s">
        <v>661</v>
      </c>
      <c r="B22" s="3">
        <v>5</v>
      </c>
      <c r="C22" s="4"/>
      <c r="D22" s="6"/>
    </row>
    <row r="23" spans="1:5" x14ac:dyDescent="0.3">
      <c r="A23" s="7" t="s">
        <v>30</v>
      </c>
      <c r="B23" s="3">
        <v>5</v>
      </c>
      <c r="C23" s="4" t="s">
        <v>662</v>
      </c>
      <c r="D23" s="6"/>
    </row>
    <row r="24" spans="1:5" x14ac:dyDescent="0.3">
      <c r="A24" s="7" t="s">
        <v>663</v>
      </c>
      <c r="B24" s="3">
        <v>5</v>
      </c>
      <c r="C24" s="4" t="s">
        <v>664</v>
      </c>
      <c r="D24" s="6"/>
    </row>
    <row r="25" spans="1:5" x14ac:dyDescent="0.3">
      <c r="A25" s="7" t="s">
        <v>665</v>
      </c>
      <c r="B25" s="3">
        <v>2</v>
      </c>
      <c r="C25" s="4" t="s">
        <v>666</v>
      </c>
      <c r="D25" s="6"/>
    </row>
    <row r="26" spans="1:5" x14ac:dyDescent="0.3">
      <c r="A26" s="7" t="s">
        <v>667</v>
      </c>
      <c r="B26" s="3">
        <v>2</v>
      </c>
      <c r="C26" s="4" t="s">
        <v>668</v>
      </c>
      <c r="D26" s="6"/>
    </row>
    <row r="27" spans="1:5" x14ac:dyDescent="0.3">
      <c r="A27" s="7" t="s">
        <v>669</v>
      </c>
      <c r="B27" s="3">
        <v>2</v>
      </c>
      <c r="C27" s="4" t="s">
        <v>670</v>
      </c>
      <c r="D27" s="6"/>
    </row>
    <row r="30" spans="1:5" x14ac:dyDescent="0.3">
      <c r="A30" s="19" t="s">
        <v>671</v>
      </c>
    </row>
    <row r="31" spans="1:5" ht="25.95" customHeight="1" x14ac:dyDescent="0.3">
      <c r="A31" s="36" t="s">
        <v>672</v>
      </c>
      <c r="B31" s="30"/>
      <c r="C31" s="30"/>
      <c r="D31" s="30"/>
      <c r="E31" s="30"/>
    </row>
    <row r="32" spans="1:5" ht="25.95" customHeight="1" x14ac:dyDescent="0.3">
      <c r="A32" s="36" t="s">
        <v>673</v>
      </c>
      <c r="B32" s="30"/>
      <c r="C32" s="30"/>
      <c r="D32" s="30"/>
      <c r="E32" s="30"/>
    </row>
    <row r="33" spans="1:5" ht="25.95" customHeight="1" x14ac:dyDescent="0.3">
      <c r="A33" s="36" t="s">
        <v>674</v>
      </c>
      <c r="B33" s="30"/>
      <c r="C33" s="30"/>
      <c r="D33" s="30"/>
      <c r="E33" s="30"/>
    </row>
  </sheetData>
  <mergeCells count="5">
    <mergeCell ref="A4:E4"/>
    <mergeCell ref="A33:E33"/>
    <mergeCell ref="A1:E1"/>
    <mergeCell ref="A32:E32"/>
    <mergeCell ref="A31:E3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tabSelected="1" workbookViewId="0">
      <selection activeCell="D23" sqref="D23"/>
    </sheetView>
  </sheetViews>
  <sheetFormatPr defaultRowHeight="14.4" x14ac:dyDescent="0.3"/>
  <cols>
    <col min="1" max="3" width="30" customWidth="1"/>
    <col min="4" max="4" width="18" customWidth="1"/>
  </cols>
  <sheetData>
    <row r="1" spans="1:4" ht="15.6" x14ac:dyDescent="0.3">
      <c r="A1" s="34" t="s">
        <v>689</v>
      </c>
      <c r="B1" s="30"/>
      <c r="C1" s="30"/>
      <c r="D1" s="30"/>
    </row>
    <row r="3" spans="1:4" x14ac:dyDescent="0.3">
      <c r="A3" s="36" t="s">
        <v>690</v>
      </c>
      <c r="B3" s="30"/>
      <c r="C3" s="30"/>
      <c r="D3" s="30"/>
    </row>
    <row r="5" spans="1:4" x14ac:dyDescent="0.3">
      <c r="A5" s="20" t="s">
        <v>628</v>
      </c>
      <c r="B5" s="20" t="s">
        <v>691</v>
      </c>
      <c r="C5" s="20" t="s">
        <v>692</v>
      </c>
      <c r="D5" s="20" t="s">
        <v>13</v>
      </c>
    </row>
    <row r="6" spans="1:4" ht="34.049999999999997" customHeight="1" x14ac:dyDescent="0.3">
      <c r="A6" s="11" t="s">
        <v>693</v>
      </c>
      <c r="B6" s="13"/>
      <c r="C6" s="13"/>
      <c r="D6" s="13"/>
    </row>
    <row r="7" spans="1:4" ht="34.049999999999997" customHeight="1" x14ac:dyDescent="0.3">
      <c r="A7" s="11" t="s">
        <v>694</v>
      </c>
      <c r="B7" s="13"/>
      <c r="C7" s="13"/>
      <c r="D7" s="13"/>
    </row>
    <row r="8" spans="1:4" ht="34.049999999999997" customHeight="1" x14ac:dyDescent="0.3">
      <c r="A8" s="11" t="s">
        <v>695</v>
      </c>
      <c r="B8" s="13"/>
      <c r="C8" s="13"/>
      <c r="D8" s="13"/>
    </row>
    <row r="9" spans="1:4" ht="34.049999999999997" customHeight="1" x14ac:dyDescent="0.3">
      <c r="A9" s="11" t="s">
        <v>696</v>
      </c>
      <c r="B9" s="13"/>
      <c r="C9" s="13"/>
      <c r="D9" s="13"/>
    </row>
    <row r="10" spans="1:4" ht="34.049999999999997" customHeight="1" x14ac:dyDescent="0.3">
      <c r="A10" s="11" t="s">
        <v>697</v>
      </c>
      <c r="B10" s="13"/>
      <c r="C10" s="13"/>
      <c r="D10" s="13"/>
    </row>
    <row r="13" spans="1:4" x14ac:dyDescent="0.3">
      <c r="A13" s="33" t="s">
        <v>698</v>
      </c>
      <c r="B13" s="30"/>
      <c r="C13" s="30"/>
      <c r="D13" s="30"/>
    </row>
    <row r="14" spans="1:4" x14ac:dyDescent="0.3">
      <c r="A14" s="33" t="s">
        <v>699</v>
      </c>
      <c r="B14" s="30"/>
      <c r="C14" s="30"/>
      <c r="D14" s="30"/>
    </row>
  </sheetData>
  <mergeCells count="4">
    <mergeCell ref="A1:D1"/>
    <mergeCell ref="A13:D13"/>
    <mergeCell ref="A3:D3"/>
    <mergeCell ref="A14:D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8"/>
  <sheetViews>
    <sheetView workbookViewId="0">
      <selection activeCell="I9" sqref="I9"/>
    </sheetView>
  </sheetViews>
  <sheetFormatPr defaultRowHeight="14.4" x14ac:dyDescent="0.3"/>
  <cols>
    <col min="1" max="1" width="14.33203125" bestFit="1" customWidth="1"/>
    <col min="2" max="2" width="12.44140625" customWidth="1"/>
    <col min="3" max="3" width="12.77734375" bestFit="1" customWidth="1"/>
  </cols>
  <sheetData>
    <row r="2" spans="1:5" x14ac:dyDescent="0.3">
      <c r="A2" t="s">
        <v>702</v>
      </c>
      <c r="B2" t="s">
        <v>703</v>
      </c>
      <c r="C2" t="s">
        <v>704</v>
      </c>
    </row>
    <row r="3" spans="1:5" x14ac:dyDescent="0.3">
      <c r="A3" t="s">
        <v>705</v>
      </c>
      <c r="B3" t="s">
        <v>706</v>
      </c>
      <c r="C3" t="s">
        <v>707</v>
      </c>
    </row>
    <row r="4" spans="1:5" x14ac:dyDescent="0.3">
      <c r="A4" t="s">
        <v>708</v>
      </c>
      <c r="B4" t="s">
        <v>709</v>
      </c>
      <c r="C4" t="s">
        <v>710</v>
      </c>
    </row>
    <row r="5" spans="1:5" x14ac:dyDescent="0.3">
      <c r="A5" t="s">
        <v>711</v>
      </c>
      <c r="B5" t="s">
        <v>713</v>
      </c>
      <c r="C5" t="s">
        <v>714</v>
      </c>
    </row>
    <row r="6" spans="1:5" x14ac:dyDescent="0.3">
      <c r="A6" t="s">
        <v>712</v>
      </c>
      <c r="B6" t="s">
        <v>715</v>
      </c>
      <c r="C6" t="s">
        <v>716</v>
      </c>
    </row>
    <row r="7" spans="1:5" x14ac:dyDescent="0.3">
      <c r="A7" t="s">
        <v>717</v>
      </c>
      <c r="B7" t="s">
        <v>718</v>
      </c>
      <c r="C7" t="s">
        <v>719</v>
      </c>
    </row>
    <row r="8" spans="1:5" x14ac:dyDescent="0.3">
      <c r="A8" t="s">
        <v>720</v>
      </c>
      <c r="B8" t="s">
        <v>722</v>
      </c>
      <c r="C8" t="s">
        <v>723</v>
      </c>
      <c r="E8" t="s">
        <v>721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31"/>
  <sheetViews>
    <sheetView workbookViewId="0">
      <pane ySplit="6" topLeftCell="A13" activePane="bottomLeft" state="frozen"/>
      <selection pane="bottomLeft" activeCell="A3" sqref="A3:XFD3"/>
    </sheetView>
  </sheetViews>
  <sheetFormatPr defaultRowHeight="14.4" x14ac:dyDescent="0.3"/>
  <cols>
    <col min="1" max="1" width="6" customWidth="1"/>
    <col min="2" max="2" width="32.77734375" bestFit="1" customWidth="1"/>
    <col min="3" max="3" width="30" customWidth="1"/>
    <col min="4" max="4" width="9" customWidth="1"/>
    <col min="5" max="5" width="34" customWidth="1"/>
    <col min="6" max="6" width="20" customWidth="1"/>
    <col min="7" max="8" width="8" customWidth="1"/>
    <col min="9" max="9" width="10" customWidth="1"/>
    <col min="10" max="10" width="9" customWidth="1"/>
    <col min="11" max="11" width="13" customWidth="1"/>
    <col min="12" max="12" width="14" customWidth="1"/>
  </cols>
  <sheetData>
    <row r="1" spans="1:12" ht="28.05" customHeight="1" x14ac:dyDescent="0.3">
      <c r="A1" s="31" t="s">
        <v>0</v>
      </c>
      <c r="B1" s="30"/>
      <c r="C1" s="30"/>
      <c r="D1" s="30"/>
      <c r="E1" s="30"/>
      <c r="F1" s="30"/>
      <c r="G1" s="30"/>
      <c r="H1" s="30"/>
      <c r="I1" s="30"/>
      <c r="J1" s="30"/>
      <c r="K1" s="30"/>
      <c r="L1" s="30"/>
    </row>
    <row r="2" spans="1:12" x14ac:dyDescent="0.3">
      <c r="A2" s="29" t="s">
        <v>1</v>
      </c>
      <c r="B2" s="30"/>
      <c r="C2" s="30"/>
      <c r="D2" s="30"/>
      <c r="E2" s="30"/>
      <c r="F2" s="30"/>
      <c r="G2" s="30"/>
      <c r="H2" s="30"/>
      <c r="I2" s="30"/>
      <c r="J2" s="30"/>
      <c r="K2" s="30"/>
      <c r="L2" s="30"/>
    </row>
    <row r="4" spans="1:12" x14ac:dyDescent="0.3">
      <c r="A4" s="33" t="s">
        <v>2</v>
      </c>
      <c r="B4" s="30"/>
      <c r="C4" s="30"/>
      <c r="D4" s="30"/>
      <c r="E4" s="30"/>
      <c r="F4" s="30"/>
      <c r="G4" s="30"/>
      <c r="H4" s="30"/>
      <c r="I4" s="30"/>
      <c r="J4" s="30"/>
      <c r="K4" s="30"/>
      <c r="L4" s="30"/>
    </row>
    <row r="6" spans="1:12" ht="30" customHeight="1" x14ac:dyDescent="0.3">
      <c r="A6" s="2" t="s">
        <v>3</v>
      </c>
      <c r="B6" s="2" t="s">
        <v>4</v>
      </c>
      <c r="C6" s="2" t="s">
        <v>5</v>
      </c>
      <c r="D6" s="2" t="s">
        <v>6</v>
      </c>
      <c r="E6" s="2" t="s">
        <v>7</v>
      </c>
      <c r="F6" s="2" t="s">
        <v>8</v>
      </c>
      <c r="G6" s="2" t="s">
        <v>9</v>
      </c>
      <c r="H6" s="2" t="s">
        <v>10</v>
      </c>
      <c r="I6" s="2" t="s">
        <v>11</v>
      </c>
      <c r="J6" s="2" t="s">
        <v>12</v>
      </c>
      <c r="K6" s="2" t="s">
        <v>13</v>
      </c>
      <c r="L6" s="2" t="s">
        <v>14</v>
      </c>
    </row>
    <row r="7" spans="1:12" ht="25.95" customHeight="1" x14ac:dyDescent="0.3">
      <c r="A7" s="3">
        <v>0</v>
      </c>
      <c r="B7" s="4" t="s">
        <v>15</v>
      </c>
      <c r="C7" s="4" t="s">
        <v>16</v>
      </c>
      <c r="D7" s="3">
        <v>14</v>
      </c>
      <c r="E7" s="5" t="s">
        <v>17</v>
      </c>
      <c r="F7" s="6"/>
      <c r="G7" s="3">
        <f>COUNTIF('Tahap 0'!$D:$D,"L")</f>
        <v>1</v>
      </c>
      <c r="H7" s="3">
        <f>COUNTIF('Tahap 0'!$D:$D,"G")</f>
        <v>0</v>
      </c>
      <c r="I7" s="3">
        <f>COUNTIF('Tahap 0'!$D:$D,"T")</f>
        <v>0</v>
      </c>
      <c r="J7" s="3">
        <f t="shared" ref="J7:J20" si="0">D7-G7-H7-I7</f>
        <v>13</v>
      </c>
      <c r="K7" s="6"/>
      <c r="L7" s="7" t="str">
        <f t="shared" ref="L7:L20" si="1">IF(J7=D7,"Belum Mulai",IF(J7=0,IF(H7&gt;0,"Selesai - ada gagal","Selesai"),"Berjalan"))</f>
        <v>Berjalan</v>
      </c>
    </row>
    <row r="8" spans="1:12" ht="25.95" customHeight="1" x14ac:dyDescent="0.3">
      <c r="A8" s="3">
        <v>1</v>
      </c>
      <c r="B8" s="4" t="s">
        <v>18</v>
      </c>
      <c r="C8" s="4" t="s">
        <v>19</v>
      </c>
      <c r="D8" s="3">
        <v>22</v>
      </c>
      <c r="E8" s="5" t="s">
        <v>20</v>
      </c>
      <c r="F8" s="6"/>
      <c r="G8" s="3">
        <f>COUNTIF('Tahap 1'!$D:$D,"L")</f>
        <v>0</v>
      </c>
      <c r="H8" s="3">
        <f>COUNTIF('Tahap 1'!$D:$D,"G")</f>
        <v>0</v>
      </c>
      <c r="I8" s="3">
        <f>COUNTIF('Tahap 1'!$D:$D,"T")</f>
        <v>0</v>
      </c>
      <c r="J8" s="3">
        <f t="shared" si="0"/>
        <v>22</v>
      </c>
      <c r="K8" s="6"/>
      <c r="L8" s="7" t="str">
        <f t="shared" si="1"/>
        <v>Belum Mulai</v>
      </c>
    </row>
    <row r="9" spans="1:12" ht="25.95" customHeight="1" x14ac:dyDescent="0.3">
      <c r="A9" s="3">
        <v>2</v>
      </c>
      <c r="B9" s="4" t="s">
        <v>21</v>
      </c>
      <c r="C9" s="4" t="s">
        <v>22</v>
      </c>
      <c r="D9" s="3">
        <v>25</v>
      </c>
      <c r="E9" s="5" t="s">
        <v>23</v>
      </c>
      <c r="F9" s="6"/>
      <c r="G9" s="3">
        <f>COUNTIF('Tahap 2'!$D:$D,"L")</f>
        <v>0</v>
      </c>
      <c r="H9" s="3">
        <f>COUNTIF('Tahap 2'!$D:$D,"G")</f>
        <v>0</v>
      </c>
      <c r="I9" s="3">
        <f>COUNTIF('Tahap 2'!$D:$D,"T")</f>
        <v>0</v>
      </c>
      <c r="J9" s="3">
        <f t="shared" si="0"/>
        <v>25</v>
      </c>
      <c r="K9" s="6"/>
      <c r="L9" s="7" t="str">
        <f t="shared" si="1"/>
        <v>Belum Mulai</v>
      </c>
    </row>
    <row r="10" spans="1:12" ht="25.95" customHeight="1" x14ac:dyDescent="0.3">
      <c r="A10" s="3">
        <v>3</v>
      </c>
      <c r="B10" s="4" t="s">
        <v>24</v>
      </c>
      <c r="C10" s="4" t="s">
        <v>25</v>
      </c>
      <c r="D10" s="3">
        <v>7</v>
      </c>
      <c r="E10" s="5" t="s">
        <v>26</v>
      </c>
      <c r="F10" s="6"/>
      <c r="G10" s="3">
        <f>COUNTIF('Tahap 3'!$D:$D,"L")</f>
        <v>0</v>
      </c>
      <c r="H10" s="3">
        <f>COUNTIF('Tahap 3'!$D:$D,"G")</f>
        <v>0</v>
      </c>
      <c r="I10" s="3">
        <f>COUNTIF('Tahap 3'!$D:$D,"T")</f>
        <v>0</v>
      </c>
      <c r="J10" s="3">
        <f t="shared" si="0"/>
        <v>7</v>
      </c>
      <c r="K10" s="6"/>
      <c r="L10" s="7" t="str">
        <f t="shared" si="1"/>
        <v>Belum Mulai</v>
      </c>
    </row>
    <row r="11" spans="1:12" ht="25.95" customHeight="1" x14ac:dyDescent="0.3">
      <c r="A11" s="3">
        <v>4</v>
      </c>
      <c r="B11" s="4" t="s">
        <v>27</v>
      </c>
      <c r="C11" s="4" t="s">
        <v>28</v>
      </c>
      <c r="D11" s="3">
        <v>12</v>
      </c>
      <c r="E11" s="5" t="s">
        <v>700</v>
      </c>
      <c r="F11" s="6"/>
      <c r="G11" s="3">
        <f>COUNTIF('Tahap 4'!$D:$D,"L")</f>
        <v>0</v>
      </c>
      <c r="H11" s="3">
        <f>COUNTIF('Tahap 4'!$D:$D,"G")</f>
        <v>0</v>
      </c>
      <c r="I11" s="3">
        <f>COUNTIF('Tahap 4'!$D:$D,"T")</f>
        <v>0</v>
      </c>
      <c r="J11" s="3">
        <f t="shared" si="0"/>
        <v>12</v>
      </c>
      <c r="K11" s="6"/>
      <c r="L11" s="7" t="str">
        <f t="shared" si="1"/>
        <v>Belum Mulai</v>
      </c>
    </row>
    <row r="12" spans="1:12" ht="25.95" customHeight="1" x14ac:dyDescent="0.3">
      <c r="A12" s="3">
        <v>5</v>
      </c>
      <c r="B12" s="4" t="s">
        <v>30</v>
      </c>
      <c r="C12" s="4" t="s">
        <v>31</v>
      </c>
      <c r="D12" s="3">
        <v>5</v>
      </c>
      <c r="E12" s="5" t="s">
        <v>26</v>
      </c>
      <c r="F12" s="6"/>
      <c r="G12" s="3">
        <f>COUNTIF('Tahap 5'!$D:$D,"L")</f>
        <v>0</v>
      </c>
      <c r="H12" s="3">
        <f>COUNTIF('Tahap 5'!$D:$D,"G")</f>
        <v>0</v>
      </c>
      <c r="I12" s="3">
        <f>COUNTIF('Tahap 5'!$D:$D,"T")</f>
        <v>0</v>
      </c>
      <c r="J12" s="3">
        <f t="shared" si="0"/>
        <v>5</v>
      </c>
      <c r="K12" s="6"/>
      <c r="L12" s="7" t="str">
        <f t="shared" si="1"/>
        <v>Belum Mulai</v>
      </c>
    </row>
    <row r="13" spans="1:12" ht="25.95" customHeight="1" x14ac:dyDescent="0.3">
      <c r="A13" s="3">
        <v>6</v>
      </c>
      <c r="B13" s="4" t="s">
        <v>32</v>
      </c>
      <c r="C13" s="4" t="s">
        <v>33</v>
      </c>
      <c r="D13" s="3">
        <v>14</v>
      </c>
      <c r="E13" s="5" t="s">
        <v>34</v>
      </c>
      <c r="F13" s="6"/>
      <c r="G13" s="3">
        <f>COUNTIF('Tahap 6'!$D:$D,"L")</f>
        <v>0</v>
      </c>
      <c r="H13" s="3">
        <f>COUNTIF('Tahap 6'!$D:$D,"G")</f>
        <v>0</v>
      </c>
      <c r="I13" s="3">
        <f>COUNTIF('Tahap 6'!$D:$D,"T")</f>
        <v>0</v>
      </c>
      <c r="J13" s="3">
        <f t="shared" si="0"/>
        <v>14</v>
      </c>
      <c r="K13" s="6"/>
      <c r="L13" s="7" t="str">
        <f t="shared" si="1"/>
        <v>Belum Mulai</v>
      </c>
    </row>
    <row r="14" spans="1:12" ht="25.95" customHeight="1" x14ac:dyDescent="0.3">
      <c r="A14" s="3">
        <v>7</v>
      </c>
      <c r="B14" s="4" t="s">
        <v>35</v>
      </c>
      <c r="C14" s="4" t="s">
        <v>36</v>
      </c>
      <c r="D14" s="3">
        <v>6</v>
      </c>
      <c r="E14" s="5" t="s">
        <v>26</v>
      </c>
      <c r="F14" s="6"/>
      <c r="G14" s="3">
        <f>COUNTIF('Tahap 7'!$D:$D,"L")</f>
        <v>0</v>
      </c>
      <c r="H14" s="3">
        <f>COUNTIF('Tahap 7'!$D:$D,"G")</f>
        <v>0</v>
      </c>
      <c r="I14" s="3">
        <f>COUNTIF('Tahap 7'!$D:$D,"T")</f>
        <v>0</v>
      </c>
      <c r="J14" s="3">
        <f t="shared" si="0"/>
        <v>6</v>
      </c>
      <c r="K14" s="6"/>
      <c r="L14" s="7" t="str">
        <f t="shared" si="1"/>
        <v>Belum Mulai</v>
      </c>
    </row>
    <row r="15" spans="1:12" ht="25.95" customHeight="1" x14ac:dyDescent="0.3">
      <c r="A15" s="3">
        <v>8</v>
      </c>
      <c r="B15" s="4" t="s">
        <v>37</v>
      </c>
      <c r="C15" s="4" t="s">
        <v>38</v>
      </c>
      <c r="D15" s="3">
        <v>6</v>
      </c>
      <c r="E15" s="5" t="s">
        <v>17</v>
      </c>
      <c r="F15" s="6"/>
      <c r="G15" s="3">
        <f>COUNTIF('Tahap 8'!$D:$D,"L")</f>
        <v>0</v>
      </c>
      <c r="H15" s="3">
        <f>COUNTIF('Tahap 8'!$D:$D,"G")</f>
        <v>0</v>
      </c>
      <c r="I15" s="3">
        <f>COUNTIF('Tahap 8'!$D:$D,"T")</f>
        <v>0</v>
      </c>
      <c r="J15" s="3">
        <f t="shared" si="0"/>
        <v>6</v>
      </c>
      <c r="K15" s="6"/>
      <c r="L15" s="7" t="str">
        <f t="shared" si="1"/>
        <v>Belum Mulai</v>
      </c>
    </row>
    <row r="16" spans="1:12" ht="25.95" customHeight="1" x14ac:dyDescent="0.3">
      <c r="A16" s="3">
        <v>9</v>
      </c>
      <c r="B16" s="4" t="s">
        <v>39</v>
      </c>
      <c r="C16" s="4" t="s">
        <v>40</v>
      </c>
      <c r="D16" s="3">
        <v>18</v>
      </c>
      <c r="E16" s="5" t="s">
        <v>41</v>
      </c>
      <c r="F16" s="6"/>
      <c r="G16" s="3">
        <f>COUNTIF('Tahap 9'!$D:$D,"L")</f>
        <v>0</v>
      </c>
      <c r="H16" s="3">
        <f>COUNTIF('Tahap 9'!$D:$D,"G")</f>
        <v>0</v>
      </c>
      <c r="I16" s="3">
        <f>COUNTIF('Tahap 9'!$D:$D,"T")</f>
        <v>0</v>
      </c>
      <c r="J16" s="3">
        <f t="shared" si="0"/>
        <v>18</v>
      </c>
      <c r="K16" s="6"/>
      <c r="L16" s="7" t="str">
        <f t="shared" si="1"/>
        <v>Belum Mulai</v>
      </c>
    </row>
    <row r="17" spans="1:12" ht="25.95" customHeight="1" x14ac:dyDescent="0.3">
      <c r="A17" s="3">
        <v>10</v>
      </c>
      <c r="B17" s="4" t="s">
        <v>42</v>
      </c>
      <c r="C17" s="4" t="s">
        <v>43</v>
      </c>
      <c r="D17" s="3">
        <v>7</v>
      </c>
      <c r="E17" s="5" t="s">
        <v>44</v>
      </c>
      <c r="F17" s="6"/>
      <c r="G17" s="3">
        <f>COUNTIF('Tahap 10'!$D:$D,"L")</f>
        <v>0</v>
      </c>
      <c r="H17" s="3">
        <f>COUNTIF('Tahap 10'!$D:$D,"G")</f>
        <v>0</v>
      </c>
      <c r="I17" s="3">
        <f>COUNTIF('Tahap 10'!$D:$D,"T")</f>
        <v>0</v>
      </c>
      <c r="J17" s="3">
        <f t="shared" si="0"/>
        <v>7</v>
      </c>
      <c r="K17" s="6"/>
      <c r="L17" s="7" t="str">
        <f t="shared" si="1"/>
        <v>Belum Mulai</v>
      </c>
    </row>
    <row r="18" spans="1:12" ht="25.95" customHeight="1" x14ac:dyDescent="0.3">
      <c r="A18" s="3">
        <v>11</v>
      </c>
      <c r="B18" s="4" t="s">
        <v>45</v>
      </c>
      <c r="C18" s="4" t="s">
        <v>46</v>
      </c>
      <c r="D18" s="3">
        <v>11</v>
      </c>
      <c r="E18" s="5" t="s">
        <v>47</v>
      </c>
      <c r="F18" s="6"/>
      <c r="G18" s="3">
        <f>COUNTIF('Tahap 11'!$D:$D,"L")</f>
        <v>0</v>
      </c>
      <c r="H18" s="3">
        <f>COUNTIF('Tahap 11'!$D:$D,"G")</f>
        <v>0</v>
      </c>
      <c r="I18" s="3">
        <f>COUNTIF('Tahap 11'!$D:$D,"T")</f>
        <v>0</v>
      </c>
      <c r="J18" s="3">
        <f t="shared" si="0"/>
        <v>11</v>
      </c>
      <c r="K18" s="6"/>
      <c r="L18" s="7" t="str">
        <f t="shared" si="1"/>
        <v>Belum Mulai</v>
      </c>
    </row>
    <row r="19" spans="1:12" ht="25.95" customHeight="1" x14ac:dyDescent="0.3">
      <c r="A19" s="3">
        <v>12</v>
      </c>
      <c r="B19" s="4" t="s">
        <v>48</v>
      </c>
      <c r="C19" s="4" t="s">
        <v>46</v>
      </c>
      <c r="D19" s="3">
        <v>27</v>
      </c>
      <c r="E19" s="5" t="s">
        <v>47</v>
      </c>
      <c r="F19" s="6"/>
      <c r="G19" s="3">
        <f>COUNTIF('Tahap 12'!$D:$D,"L")</f>
        <v>0</v>
      </c>
      <c r="H19" s="3">
        <f>COUNTIF('Tahap 12'!$D:$D,"G")</f>
        <v>0</v>
      </c>
      <c r="I19" s="3">
        <f>COUNTIF('Tahap 12'!$D:$D,"T")</f>
        <v>0</v>
      </c>
      <c r="J19" s="3">
        <f t="shared" si="0"/>
        <v>27</v>
      </c>
      <c r="K19" s="6"/>
      <c r="L19" s="7" t="str">
        <f t="shared" si="1"/>
        <v>Belum Mulai</v>
      </c>
    </row>
    <row r="20" spans="1:12" ht="25.95" customHeight="1" x14ac:dyDescent="0.3">
      <c r="A20" s="3">
        <v>13</v>
      </c>
      <c r="B20" s="4" t="s">
        <v>49</v>
      </c>
      <c r="C20" s="4" t="s">
        <v>50</v>
      </c>
      <c r="D20" s="3">
        <v>6</v>
      </c>
      <c r="E20" s="5" t="s">
        <v>47</v>
      </c>
      <c r="F20" s="6"/>
      <c r="G20" s="3">
        <f>COUNTIF('Tahap 13'!$D:$D,"L")</f>
        <v>0</v>
      </c>
      <c r="H20" s="3">
        <f>COUNTIF('Tahap 13'!$D:$D,"G")</f>
        <v>0</v>
      </c>
      <c r="I20" s="3">
        <f>COUNTIF('Tahap 13'!$D:$D,"T")</f>
        <v>0</v>
      </c>
      <c r="J20" s="3">
        <f t="shared" si="0"/>
        <v>6</v>
      </c>
      <c r="K20" s="6"/>
      <c r="L20" s="7" t="str">
        <f t="shared" si="1"/>
        <v>Belum Mulai</v>
      </c>
    </row>
    <row r="21" spans="1:12" x14ac:dyDescent="0.3">
      <c r="A21" s="8"/>
      <c r="B21" s="9" t="s">
        <v>51</v>
      </c>
      <c r="C21" s="8"/>
      <c r="D21" s="8">
        <f>SUM(D7:D20)</f>
        <v>180</v>
      </c>
      <c r="E21" s="8"/>
      <c r="F21" s="8"/>
      <c r="G21" s="8">
        <f>SUM(G7:G20)</f>
        <v>1</v>
      </c>
      <c r="H21" s="8">
        <f>SUM(H7:H20)</f>
        <v>0</v>
      </c>
      <c r="I21" s="8">
        <f>SUM(I7:I20)</f>
        <v>0</v>
      </c>
      <c r="J21" s="8">
        <f>SUM(J7:J20)</f>
        <v>179</v>
      </c>
      <c r="K21" s="8"/>
      <c r="L21" s="8"/>
    </row>
    <row r="24" spans="1:12" x14ac:dyDescent="0.3">
      <c r="A24" s="32" t="s">
        <v>52</v>
      </c>
      <c r="B24" s="30"/>
      <c r="C24" s="30"/>
      <c r="D24" s="30"/>
    </row>
    <row r="25" spans="1:12" x14ac:dyDescent="0.3">
      <c r="A25" s="10" t="s">
        <v>53</v>
      </c>
      <c r="B25" s="10" t="s">
        <v>54</v>
      </c>
      <c r="C25" s="10" t="s">
        <v>55</v>
      </c>
      <c r="D25" s="10" t="s">
        <v>56</v>
      </c>
    </row>
    <row r="26" spans="1:12" x14ac:dyDescent="0.3">
      <c r="A26" s="11" t="s">
        <v>57</v>
      </c>
      <c r="B26" s="11" t="s">
        <v>58</v>
      </c>
      <c r="C26" s="11">
        <f>COUNTIF(Temuan!$C:$C,$A26)</f>
        <v>0</v>
      </c>
      <c r="D26" s="11">
        <f>COUNTIFS(Temuan!$C:$C,$A26,Temuan!$I:$I,"Ditutup")</f>
        <v>0</v>
      </c>
    </row>
    <row r="27" spans="1:12" x14ac:dyDescent="0.3">
      <c r="A27" s="11" t="s">
        <v>59</v>
      </c>
      <c r="B27" s="11" t="s">
        <v>60</v>
      </c>
      <c r="C27" s="11">
        <f>COUNTIF(Temuan!$C:$C,$A27)</f>
        <v>1</v>
      </c>
      <c r="D27" s="11">
        <f>COUNTIFS(Temuan!$C:$C,$A27,Temuan!$I:$I,"Ditutup")</f>
        <v>0</v>
      </c>
    </row>
    <row r="28" spans="1:12" x14ac:dyDescent="0.3">
      <c r="A28" s="11" t="s">
        <v>61</v>
      </c>
      <c r="B28" s="11" t="s">
        <v>62</v>
      </c>
      <c r="C28" s="11">
        <f>COUNTIF(Temuan!$C:$C,$A28)</f>
        <v>0</v>
      </c>
      <c r="D28" s="11">
        <f>COUNTIFS(Temuan!$C:$C,$A28,Temuan!$I:$I,"Ditutup")</f>
        <v>0</v>
      </c>
    </row>
    <row r="29" spans="1:12" x14ac:dyDescent="0.3">
      <c r="A29" s="11" t="s">
        <v>63</v>
      </c>
      <c r="B29" s="11" t="s">
        <v>64</v>
      </c>
      <c r="C29" s="11">
        <f>COUNTIF(Temuan!$C:$C,$A29)</f>
        <v>0</v>
      </c>
      <c r="D29" s="11">
        <f>COUNTIFS(Temuan!$C:$C,$A29,Temuan!$I:$I,"Ditutup")</f>
        <v>0</v>
      </c>
    </row>
    <row r="31" spans="1:12" x14ac:dyDescent="0.3">
      <c r="A31" s="29" t="s">
        <v>65</v>
      </c>
      <c r="B31" s="30"/>
      <c r="C31" s="30"/>
      <c r="D31" s="30"/>
      <c r="E31" s="30"/>
      <c r="F31" s="30"/>
      <c r="G31" s="30"/>
      <c r="H31" s="30"/>
      <c r="I31" s="30"/>
      <c r="J31" s="30"/>
      <c r="K31" s="30"/>
      <c r="L31" s="30"/>
    </row>
  </sheetData>
  <mergeCells count="5">
    <mergeCell ref="A2:L2"/>
    <mergeCell ref="A1:L1"/>
    <mergeCell ref="A31:L31"/>
    <mergeCell ref="A24:D24"/>
    <mergeCell ref="A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6" topLeftCell="A7" activePane="bottomLeft" state="frozen"/>
      <selection pane="bottomLeft" activeCell="D8" sqref="D8"/>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66</v>
      </c>
      <c r="B1" s="30"/>
      <c r="C1" s="30"/>
      <c r="D1" s="30"/>
      <c r="E1" s="30"/>
    </row>
    <row r="3" spans="1:5" x14ac:dyDescent="0.3">
      <c r="A3" s="12" t="s">
        <v>67</v>
      </c>
      <c r="B3" s="13" t="s">
        <v>17</v>
      </c>
      <c r="D3" s="12" t="s">
        <v>9</v>
      </c>
      <c r="E3" s="14">
        <f>COUNTIF($D:$D,"L")</f>
        <v>1</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73</v>
      </c>
      <c r="B8" s="16" t="s">
        <v>74</v>
      </c>
      <c r="C8" s="16" t="s">
        <v>75</v>
      </c>
      <c r="D8" s="17" t="s">
        <v>701</v>
      </c>
      <c r="E8" s="18"/>
    </row>
    <row r="9" spans="1:5" ht="30" customHeight="1" x14ac:dyDescent="0.3">
      <c r="A9" s="15" t="s">
        <v>76</v>
      </c>
      <c r="B9" s="16" t="s">
        <v>77</v>
      </c>
      <c r="C9" s="16" t="s">
        <v>78</v>
      </c>
      <c r="D9" s="17"/>
      <c r="E9" s="18"/>
    </row>
    <row r="10" spans="1:5" ht="30" customHeight="1" x14ac:dyDescent="0.3">
      <c r="A10" s="15" t="s">
        <v>79</v>
      </c>
      <c r="B10" s="16" t="s">
        <v>80</v>
      </c>
      <c r="C10" s="16" t="s">
        <v>81</v>
      </c>
      <c r="D10" s="17"/>
      <c r="E10" s="18"/>
    </row>
    <row r="11" spans="1:5" ht="30" customHeight="1" x14ac:dyDescent="0.3">
      <c r="A11" s="15" t="s">
        <v>82</v>
      </c>
      <c r="B11" s="16" t="s">
        <v>83</v>
      </c>
      <c r="C11" s="16" t="s">
        <v>84</v>
      </c>
      <c r="D11" s="17"/>
      <c r="E11" s="18"/>
    </row>
    <row r="12" spans="1:5" ht="30" customHeight="1" x14ac:dyDescent="0.3">
      <c r="A12" s="15" t="s">
        <v>85</v>
      </c>
      <c r="B12" s="16" t="s">
        <v>86</v>
      </c>
      <c r="C12" s="16" t="s">
        <v>87</v>
      </c>
      <c r="D12" s="17"/>
      <c r="E12" s="18"/>
    </row>
    <row r="13" spans="1:5" ht="30" customHeight="1" x14ac:dyDescent="0.3">
      <c r="A13" s="15" t="s">
        <v>88</v>
      </c>
      <c r="B13" s="16" t="s">
        <v>89</v>
      </c>
      <c r="C13" s="16" t="s">
        <v>90</v>
      </c>
      <c r="D13" s="17"/>
      <c r="E13" s="18"/>
    </row>
    <row r="14" spans="1:5" ht="30" customHeight="1" x14ac:dyDescent="0.3">
      <c r="A14" s="15" t="s">
        <v>91</v>
      </c>
      <c r="B14" s="16" t="s">
        <v>92</v>
      </c>
      <c r="C14" s="16" t="s">
        <v>93</v>
      </c>
      <c r="D14" s="17"/>
      <c r="E14" s="18"/>
    </row>
    <row r="15" spans="1:5" ht="30" customHeight="1" x14ac:dyDescent="0.3">
      <c r="A15" s="15" t="s">
        <v>94</v>
      </c>
      <c r="B15" s="16" t="s">
        <v>95</v>
      </c>
      <c r="C15" s="16" t="s">
        <v>96</v>
      </c>
      <c r="D15" s="17"/>
      <c r="E15" s="18"/>
    </row>
    <row r="16" spans="1:5" ht="30" customHeight="1" x14ac:dyDescent="0.3">
      <c r="A16" s="15" t="s">
        <v>97</v>
      </c>
      <c r="B16" s="16" t="s">
        <v>98</v>
      </c>
      <c r="C16" s="16" t="s">
        <v>99</v>
      </c>
      <c r="D16" s="17"/>
      <c r="E16" s="18"/>
    </row>
    <row r="17" spans="1:5" ht="30" customHeight="1" x14ac:dyDescent="0.3">
      <c r="A17" s="15" t="s">
        <v>100</v>
      </c>
      <c r="B17" s="16" t="s">
        <v>101</v>
      </c>
      <c r="C17" s="16" t="s">
        <v>102</v>
      </c>
      <c r="D17" s="17"/>
      <c r="E17" s="18"/>
    </row>
    <row r="18" spans="1:5" ht="30" customHeight="1" x14ac:dyDescent="0.3">
      <c r="A18" s="15" t="s">
        <v>103</v>
      </c>
      <c r="B18" s="16" t="s">
        <v>104</v>
      </c>
      <c r="C18" s="16" t="s">
        <v>105</v>
      </c>
      <c r="D18" s="17"/>
      <c r="E18" s="18"/>
    </row>
    <row r="19" spans="1:5" ht="30" customHeight="1" x14ac:dyDescent="0.3">
      <c r="A19" s="15" t="s">
        <v>106</v>
      </c>
      <c r="B19" s="16" t="s">
        <v>107</v>
      </c>
      <c r="C19" s="16" t="s">
        <v>108</v>
      </c>
      <c r="D19" s="17"/>
      <c r="E19" s="18"/>
    </row>
    <row r="20" spans="1:5" ht="30" customHeight="1" x14ac:dyDescent="0.3">
      <c r="A20" s="15" t="s">
        <v>109</v>
      </c>
      <c r="B20" s="16" t="s">
        <v>110</v>
      </c>
      <c r="C20" s="16" t="s">
        <v>111</v>
      </c>
      <c r="D20" s="17"/>
      <c r="E20" s="18"/>
    </row>
    <row r="21" spans="1:5" ht="30" customHeight="1" x14ac:dyDescent="0.3">
      <c r="A21" s="15" t="s">
        <v>112</v>
      </c>
      <c r="B21" s="16" t="s">
        <v>113</v>
      </c>
      <c r="C21" s="16" t="s">
        <v>114</v>
      </c>
      <c r="D21" s="17"/>
      <c r="E21"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115</v>
      </c>
      <c r="B1" s="30"/>
      <c r="C1" s="30"/>
      <c r="D1" s="30"/>
      <c r="E1" s="30"/>
    </row>
    <row r="3" spans="1:5" x14ac:dyDescent="0.3">
      <c r="A3" s="12" t="s">
        <v>67</v>
      </c>
      <c r="B3" s="13" t="s">
        <v>20</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x14ac:dyDescent="0.3">
      <c r="A7" s="35" t="s">
        <v>116</v>
      </c>
      <c r="B7" s="30"/>
      <c r="C7" s="30"/>
      <c r="D7" s="30"/>
      <c r="E7" s="30"/>
    </row>
    <row r="8" spans="1:5" ht="22.05" customHeight="1" x14ac:dyDescent="0.3">
      <c r="A8" s="2" t="s">
        <v>68</v>
      </c>
      <c r="B8" s="2" t="s">
        <v>69</v>
      </c>
      <c r="C8" s="2" t="s">
        <v>70</v>
      </c>
      <c r="D8" s="2" t="s">
        <v>71</v>
      </c>
      <c r="E8" s="2" t="s">
        <v>72</v>
      </c>
    </row>
    <row r="9" spans="1:5" ht="30" customHeight="1" x14ac:dyDescent="0.3">
      <c r="A9" s="15" t="s">
        <v>117</v>
      </c>
      <c r="B9" s="16" t="s">
        <v>118</v>
      </c>
      <c r="C9" s="16" t="s">
        <v>119</v>
      </c>
      <c r="D9" s="17"/>
      <c r="E9" s="18"/>
    </row>
    <row r="10" spans="1:5" ht="30" customHeight="1" x14ac:dyDescent="0.3">
      <c r="A10" s="15" t="s">
        <v>120</v>
      </c>
      <c r="B10" s="16" t="s">
        <v>121</v>
      </c>
      <c r="C10" s="16" t="s">
        <v>122</v>
      </c>
      <c r="D10" s="17"/>
      <c r="E10" s="18"/>
    </row>
    <row r="11" spans="1:5" ht="30" customHeight="1" x14ac:dyDescent="0.3">
      <c r="A11" s="15" t="s">
        <v>123</v>
      </c>
      <c r="B11" s="16" t="s">
        <v>124</v>
      </c>
      <c r="C11" s="16" t="s">
        <v>125</v>
      </c>
      <c r="D11" s="17"/>
      <c r="E11" s="18"/>
    </row>
    <row r="12" spans="1:5" ht="30" customHeight="1" x14ac:dyDescent="0.3">
      <c r="A12" s="15" t="s">
        <v>126</v>
      </c>
      <c r="B12" s="16" t="s">
        <v>127</v>
      </c>
      <c r="C12" s="16" t="s">
        <v>128</v>
      </c>
      <c r="D12" s="17"/>
      <c r="E12" s="18"/>
    </row>
    <row r="13" spans="1:5" ht="30" customHeight="1" x14ac:dyDescent="0.3">
      <c r="A13" s="15" t="s">
        <v>129</v>
      </c>
      <c r="B13" s="16" t="s">
        <v>130</v>
      </c>
      <c r="C13" s="16" t="s">
        <v>131</v>
      </c>
      <c r="D13" s="17"/>
      <c r="E13" s="18"/>
    </row>
    <row r="14" spans="1:5" ht="30" customHeight="1" x14ac:dyDescent="0.3">
      <c r="A14" s="15" t="s">
        <v>132</v>
      </c>
      <c r="B14" s="16" t="s">
        <v>133</v>
      </c>
      <c r="C14" s="16" t="s">
        <v>134</v>
      </c>
      <c r="D14" s="17"/>
      <c r="E14" s="18"/>
    </row>
    <row r="15" spans="1:5" ht="30" customHeight="1" x14ac:dyDescent="0.3">
      <c r="A15" s="15" t="s">
        <v>135</v>
      </c>
      <c r="B15" s="16" t="s">
        <v>136</v>
      </c>
      <c r="C15" s="16" t="s">
        <v>137</v>
      </c>
      <c r="D15" s="17"/>
      <c r="E15" s="18"/>
    </row>
    <row r="16" spans="1:5" ht="30" customHeight="1" x14ac:dyDescent="0.3">
      <c r="A16" s="15" t="s">
        <v>138</v>
      </c>
      <c r="B16" s="16" t="s">
        <v>139</v>
      </c>
      <c r="C16" s="16" t="s">
        <v>140</v>
      </c>
      <c r="D16" s="17"/>
      <c r="E16" s="18"/>
    </row>
    <row r="17" spans="1:5" ht="30" customHeight="1" x14ac:dyDescent="0.3">
      <c r="A17" s="15" t="s">
        <v>141</v>
      </c>
      <c r="B17" s="16" t="s">
        <v>142</v>
      </c>
      <c r="C17" s="16" t="s">
        <v>143</v>
      </c>
      <c r="D17" s="17"/>
      <c r="E17" s="18"/>
    </row>
    <row r="18" spans="1:5" ht="30" customHeight="1" x14ac:dyDescent="0.3">
      <c r="A18" s="15" t="s">
        <v>144</v>
      </c>
      <c r="B18" s="16" t="s">
        <v>145</v>
      </c>
      <c r="C18" s="16" t="s">
        <v>146</v>
      </c>
      <c r="D18" s="17"/>
      <c r="E18" s="18"/>
    </row>
    <row r="19" spans="1:5" ht="30" customHeight="1" x14ac:dyDescent="0.3">
      <c r="A19" s="15" t="s">
        <v>147</v>
      </c>
      <c r="B19" s="16" t="s">
        <v>148</v>
      </c>
      <c r="C19" s="16" t="s">
        <v>149</v>
      </c>
      <c r="D19" s="17"/>
      <c r="E19" s="18"/>
    </row>
    <row r="20" spans="1:5" ht="30" customHeight="1" x14ac:dyDescent="0.3">
      <c r="A20" s="15" t="s">
        <v>150</v>
      </c>
      <c r="B20" s="16" t="s">
        <v>151</v>
      </c>
      <c r="C20" s="16" t="s">
        <v>152</v>
      </c>
      <c r="D20" s="17"/>
      <c r="E20" s="18"/>
    </row>
    <row r="21" spans="1:5" ht="30" customHeight="1" x14ac:dyDescent="0.3">
      <c r="A21" s="15" t="s">
        <v>153</v>
      </c>
      <c r="B21" s="16" t="s">
        <v>154</v>
      </c>
      <c r="C21" s="16" t="s">
        <v>155</v>
      </c>
      <c r="D21" s="17"/>
      <c r="E21" s="18"/>
    </row>
    <row r="22" spans="1:5" ht="30" customHeight="1" x14ac:dyDescent="0.3">
      <c r="A22" s="15" t="s">
        <v>156</v>
      </c>
      <c r="B22" s="16" t="s">
        <v>157</v>
      </c>
      <c r="C22" s="16" t="s">
        <v>158</v>
      </c>
      <c r="D22" s="17"/>
      <c r="E22" s="18"/>
    </row>
    <row r="23" spans="1:5" ht="30" customHeight="1" x14ac:dyDescent="0.3">
      <c r="A23" s="15" t="s">
        <v>159</v>
      </c>
      <c r="B23" s="16" t="s">
        <v>160</v>
      </c>
      <c r="C23" s="16" t="s">
        <v>161</v>
      </c>
      <c r="D23" s="17"/>
      <c r="E23" s="18"/>
    </row>
    <row r="24" spans="1:5" ht="30" customHeight="1" x14ac:dyDescent="0.3">
      <c r="A24" s="15" t="s">
        <v>162</v>
      </c>
      <c r="B24" s="16" t="s">
        <v>163</v>
      </c>
      <c r="C24" s="16" t="s">
        <v>164</v>
      </c>
      <c r="D24" s="17"/>
      <c r="E24" s="18"/>
    </row>
    <row r="26" spans="1:5" x14ac:dyDescent="0.3">
      <c r="A26" s="35" t="s">
        <v>165</v>
      </c>
      <c r="B26" s="30"/>
      <c r="C26" s="30"/>
      <c r="D26" s="30"/>
      <c r="E26" s="30"/>
    </row>
    <row r="27" spans="1:5" ht="22.05" customHeight="1" x14ac:dyDescent="0.3">
      <c r="A27" s="2" t="s">
        <v>68</v>
      </c>
      <c r="B27" s="2" t="s">
        <v>69</v>
      </c>
      <c r="C27" s="2" t="s">
        <v>70</v>
      </c>
      <c r="D27" s="2" t="s">
        <v>71</v>
      </c>
      <c r="E27" s="2" t="s">
        <v>72</v>
      </c>
    </row>
    <row r="28" spans="1:5" ht="30" customHeight="1" x14ac:dyDescent="0.3">
      <c r="A28" s="15" t="s">
        <v>166</v>
      </c>
      <c r="B28" s="16" t="s">
        <v>167</v>
      </c>
      <c r="C28" s="16" t="s">
        <v>168</v>
      </c>
      <c r="D28" s="17"/>
      <c r="E28" s="18"/>
    </row>
    <row r="29" spans="1:5" ht="30" customHeight="1" x14ac:dyDescent="0.3">
      <c r="A29" s="15" t="s">
        <v>169</v>
      </c>
      <c r="B29" s="16" t="s">
        <v>170</v>
      </c>
      <c r="C29" s="16" t="s">
        <v>171</v>
      </c>
      <c r="D29" s="17"/>
      <c r="E29" s="18"/>
    </row>
    <row r="30" spans="1:5" ht="30" customHeight="1" x14ac:dyDescent="0.3">
      <c r="A30" s="15" t="s">
        <v>172</v>
      </c>
      <c r="B30" s="16" t="s">
        <v>173</v>
      </c>
      <c r="C30" s="16" t="s">
        <v>174</v>
      </c>
      <c r="D30" s="17"/>
      <c r="E30" s="18"/>
    </row>
    <row r="31" spans="1:5" ht="30" customHeight="1" x14ac:dyDescent="0.3">
      <c r="A31" s="15" t="s">
        <v>175</v>
      </c>
      <c r="B31" s="16" t="s">
        <v>176</v>
      </c>
      <c r="C31" s="16" t="s">
        <v>177</v>
      </c>
      <c r="D31" s="17"/>
      <c r="E31" s="18"/>
    </row>
    <row r="32" spans="1:5" ht="30" customHeight="1" x14ac:dyDescent="0.3">
      <c r="A32" s="15" t="s">
        <v>178</v>
      </c>
      <c r="B32" s="16" t="s">
        <v>179</v>
      </c>
      <c r="C32" s="16" t="s">
        <v>180</v>
      </c>
      <c r="D32" s="17"/>
      <c r="E32" s="18"/>
    </row>
    <row r="33" spans="1:5" ht="30" customHeight="1" x14ac:dyDescent="0.3">
      <c r="A33" s="15" t="s">
        <v>181</v>
      </c>
      <c r="B33" s="16" t="s">
        <v>182</v>
      </c>
      <c r="C33" s="16" t="s">
        <v>183</v>
      </c>
      <c r="D33" s="17"/>
      <c r="E33" s="18"/>
    </row>
  </sheetData>
  <mergeCells count="3">
    <mergeCell ref="A1:E1"/>
    <mergeCell ref="A7:E7"/>
    <mergeCell ref="A26:E26"/>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184</v>
      </c>
      <c r="B1" s="30"/>
      <c r="C1" s="30"/>
      <c r="D1" s="30"/>
      <c r="E1" s="30"/>
    </row>
    <row r="3" spans="1:5" x14ac:dyDescent="0.3">
      <c r="A3" s="12" t="s">
        <v>67</v>
      </c>
      <c r="B3" s="13" t="s">
        <v>23</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x14ac:dyDescent="0.3">
      <c r="A7" s="35" t="s">
        <v>185</v>
      </c>
      <c r="B7" s="30"/>
      <c r="C7" s="30"/>
      <c r="D7" s="30"/>
      <c r="E7" s="30"/>
    </row>
    <row r="8" spans="1:5" ht="22.05" customHeight="1" x14ac:dyDescent="0.3">
      <c r="A8" s="2" t="s">
        <v>68</v>
      </c>
      <c r="B8" s="2" t="s">
        <v>69</v>
      </c>
      <c r="C8" s="2" t="s">
        <v>70</v>
      </c>
      <c r="D8" s="2" t="s">
        <v>71</v>
      </c>
      <c r="E8" s="2" t="s">
        <v>72</v>
      </c>
    </row>
    <row r="9" spans="1:5" ht="30" customHeight="1" x14ac:dyDescent="0.3">
      <c r="A9" s="15" t="s">
        <v>186</v>
      </c>
      <c r="B9" s="16" t="s">
        <v>187</v>
      </c>
      <c r="C9" s="16" t="s">
        <v>188</v>
      </c>
      <c r="D9" s="17"/>
      <c r="E9" s="18"/>
    </row>
    <row r="10" spans="1:5" ht="30" customHeight="1" x14ac:dyDescent="0.3">
      <c r="A10" s="15" t="s">
        <v>189</v>
      </c>
      <c r="B10" s="16" t="s">
        <v>190</v>
      </c>
      <c r="C10" s="16" t="s">
        <v>191</v>
      </c>
      <c r="D10" s="17"/>
      <c r="E10" s="18"/>
    </row>
    <row r="11" spans="1:5" ht="30" customHeight="1" x14ac:dyDescent="0.3">
      <c r="A11" s="15" t="s">
        <v>192</v>
      </c>
      <c r="B11" s="16" t="s">
        <v>193</v>
      </c>
      <c r="C11" s="16" t="s">
        <v>194</v>
      </c>
      <c r="D11" s="17"/>
      <c r="E11" s="18"/>
    </row>
    <row r="12" spans="1:5" ht="30" customHeight="1" x14ac:dyDescent="0.3">
      <c r="A12" s="15" t="s">
        <v>195</v>
      </c>
      <c r="B12" s="16" t="s">
        <v>196</v>
      </c>
      <c r="C12" s="16" t="s">
        <v>197</v>
      </c>
      <c r="D12" s="17"/>
      <c r="E12" s="18"/>
    </row>
    <row r="13" spans="1:5" ht="30" customHeight="1" x14ac:dyDescent="0.3">
      <c r="A13" s="15" t="s">
        <v>198</v>
      </c>
      <c r="B13" s="16" t="s">
        <v>199</v>
      </c>
      <c r="C13" s="16" t="s">
        <v>200</v>
      </c>
      <c r="D13" s="17"/>
      <c r="E13" s="18"/>
    </row>
    <row r="14" spans="1:5" ht="30" customHeight="1" x14ac:dyDescent="0.3">
      <c r="A14" s="15" t="s">
        <v>201</v>
      </c>
      <c r="B14" s="16" t="s">
        <v>202</v>
      </c>
      <c r="C14" s="16" t="s">
        <v>203</v>
      </c>
      <c r="D14" s="17"/>
      <c r="E14" s="18"/>
    </row>
    <row r="15" spans="1:5" ht="30" customHeight="1" x14ac:dyDescent="0.3">
      <c r="A15" s="15" t="s">
        <v>204</v>
      </c>
      <c r="B15" s="16" t="s">
        <v>205</v>
      </c>
      <c r="C15" s="16" t="s">
        <v>206</v>
      </c>
      <c r="D15" s="17"/>
      <c r="E15" s="18"/>
    </row>
    <row r="17" spans="1:5" x14ac:dyDescent="0.3">
      <c r="A17" s="35" t="s">
        <v>207</v>
      </c>
      <c r="B17" s="30"/>
      <c r="C17" s="30"/>
      <c r="D17" s="30"/>
      <c r="E17" s="30"/>
    </row>
    <row r="18" spans="1:5" ht="22.05" customHeight="1" x14ac:dyDescent="0.3">
      <c r="A18" s="2" t="s">
        <v>68</v>
      </c>
      <c r="B18" s="2" t="s">
        <v>69</v>
      </c>
      <c r="C18" s="2" t="s">
        <v>70</v>
      </c>
      <c r="D18" s="2" t="s">
        <v>71</v>
      </c>
      <c r="E18" s="2" t="s">
        <v>72</v>
      </c>
    </row>
    <row r="19" spans="1:5" ht="30" customHeight="1" x14ac:dyDescent="0.3">
      <c r="A19" s="15" t="s">
        <v>208</v>
      </c>
      <c r="B19" s="16" t="s">
        <v>209</v>
      </c>
      <c r="C19" s="16" t="s">
        <v>210</v>
      </c>
      <c r="D19" s="17"/>
      <c r="E19" s="18"/>
    </row>
    <row r="20" spans="1:5" ht="30" customHeight="1" x14ac:dyDescent="0.3">
      <c r="A20" s="15" t="s">
        <v>211</v>
      </c>
      <c r="B20" s="16" t="s">
        <v>212</v>
      </c>
      <c r="C20" s="16" t="s">
        <v>213</v>
      </c>
      <c r="D20" s="17"/>
      <c r="E20" s="18"/>
    </row>
    <row r="21" spans="1:5" ht="30" customHeight="1" x14ac:dyDescent="0.3">
      <c r="A21" s="15" t="s">
        <v>214</v>
      </c>
      <c r="B21" s="16" t="s">
        <v>215</v>
      </c>
      <c r="C21" s="16" t="s">
        <v>216</v>
      </c>
      <c r="D21" s="17"/>
      <c r="E21" s="18"/>
    </row>
    <row r="22" spans="1:5" ht="30" customHeight="1" x14ac:dyDescent="0.3">
      <c r="A22" s="15" t="s">
        <v>217</v>
      </c>
      <c r="B22" s="16" t="s">
        <v>218</v>
      </c>
      <c r="C22" s="16" t="s">
        <v>219</v>
      </c>
      <c r="D22" s="17"/>
      <c r="E22" s="18"/>
    </row>
    <row r="23" spans="1:5" ht="30" customHeight="1" x14ac:dyDescent="0.3">
      <c r="A23" s="15" t="s">
        <v>220</v>
      </c>
      <c r="B23" s="16" t="s">
        <v>221</v>
      </c>
      <c r="C23" s="16" t="s">
        <v>222</v>
      </c>
      <c r="D23" s="17"/>
      <c r="E23" s="18"/>
    </row>
    <row r="24" spans="1:5" ht="30" customHeight="1" x14ac:dyDescent="0.3">
      <c r="A24" s="15" t="s">
        <v>223</v>
      </c>
      <c r="B24" s="16" t="s">
        <v>224</v>
      </c>
      <c r="C24" s="16" t="s">
        <v>225</v>
      </c>
      <c r="D24" s="17"/>
      <c r="E24" s="18"/>
    </row>
    <row r="25" spans="1:5" ht="30" customHeight="1" x14ac:dyDescent="0.3">
      <c r="A25" s="15" t="s">
        <v>226</v>
      </c>
      <c r="B25" s="16" t="s">
        <v>227</v>
      </c>
      <c r="C25" s="16" t="s">
        <v>228</v>
      </c>
      <c r="D25" s="17"/>
      <c r="E25" s="18"/>
    </row>
    <row r="26" spans="1:5" ht="30" customHeight="1" x14ac:dyDescent="0.3">
      <c r="A26" s="15" t="s">
        <v>229</v>
      </c>
      <c r="B26" s="16" t="s">
        <v>230</v>
      </c>
      <c r="C26" s="16" t="s">
        <v>231</v>
      </c>
      <c r="D26" s="17"/>
      <c r="E26" s="18"/>
    </row>
    <row r="28" spans="1:5" x14ac:dyDescent="0.3">
      <c r="A28" s="35" t="s">
        <v>232</v>
      </c>
      <c r="B28" s="30"/>
      <c r="C28" s="30"/>
      <c r="D28" s="30"/>
      <c r="E28" s="30"/>
    </row>
    <row r="29" spans="1:5" ht="22.05" customHeight="1" x14ac:dyDescent="0.3">
      <c r="A29" s="2" t="s">
        <v>68</v>
      </c>
      <c r="B29" s="2" t="s">
        <v>69</v>
      </c>
      <c r="C29" s="2" t="s">
        <v>70</v>
      </c>
      <c r="D29" s="2" t="s">
        <v>71</v>
      </c>
      <c r="E29" s="2" t="s">
        <v>72</v>
      </c>
    </row>
    <row r="30" spans="1:5" ht="30" customHeight="1" x14ac:dyDescent="0.3">
      <c r="A30" s="15" t="s">
        <v>233</v>
      </c>
      <c r="B30" s="16" t="s">
        <v>234</v>
      </c>
      <c r="C30" s="16" t="s">
        <v>235</v>
      </c>
      <c r="D30" s="17"/>
      <c r="E30" s="18"/>
    </row>
    <row r="31" spans="1:5" ht="30" customHeight="1" x14ac:dyDescent="0.3">
      <c r="A31" s="15" t="s">
        <v>236</v>
      </c>
      <c r="B31" s="16" t="s">
        <v>237</v>
      </c>
      <c r="C31" s="16" t="s">
        <v>238</v>
      </c>
      <c r="D31" s="17"/>
      <c r="E31" s="18"/>
    </row>
    <row r="33" spans="1:5" x14ac:dyDescent="0.3">
      <c r="A33" s="35" t="s">
        <v>239</v>
      </c>
      <c r="B33" s="30"/>
      <c r="C33" s="30"/>
      <c r="D33" s="30"/>
      <c r="E33" s="30"/>
    </row>
    <row r="34" spans="1:5" ht="22.05" customHeight="1" x14ac:dyDescent="0.3">
      <c r="A34" s="2" t="s">
        <v>68</v>
      </c>
      <c r="B34" s="2" t="s">
        <v>69</v>
      </c>
      <c r="C34" s="2" t="s">
        <v>70</v>
      </c>
      <c r="D34" s="2" t="s">
        <v>71</v>
      </c>
      <c r="E34" s="2" t="s">
        <v>72</v>
      </c>
    </row>
    <row r="35" spans="1:5" ht="30" customHeight="1" x14ac:dyDescent="0.3">
      <c r="A35" s="15" t="s">
        <v>240</v>
      </c>
      <c r="B35" s="16" t="s">
        <v>241</v>
      </c>
      <c r="C35" s="16" t="s">
        <v>242</v>
      </c>
      <c r="D35" s="17"/>
      <c r="E35" s="18"/>
    </row>
    <row r="36" spans="1:5" ht="30" customHeight="1" x14ac:dyDescent="0.3">
      <c r="A36" s="15" t="s">
        <v>243</v>
      </c>
      <c r="B36" s="16" t="s">
        <v>244</v>
      </c>
      <c r="C36" s="16" t="s">
        <v>245</v>
      </c>
      <c r="D36" s="17"/>
      <c r="E36" s="18"/>
    </row>
    <row r="37" spans="1:5" ht="30" customHeight="1" x14ac:dyDescent="0.3">
      <c r="A37" s="15" t="s">
        <v>246</v>
      </c>
      <c r="B37" s="16" t="s">
        <v>247</v>
      </c>
      <c r="C37" s="16" t="s">
        <v>248</v>
      </c>
      <c r="D37" s="17"/>
      <c r="E37" s="18"/>
    </row>
    <row r="38" spans="1:5" ht="30" customHeight="1" x14ac:dyDescent="0.3">
      <c r="A38" s="15" t="s">
        <v>249</v>
      </c>
      <c r="B38" s="16" t="s">
        <v>250</v>
      </c>
      <c r="C38" s="16" t="s">
        <v>251</v>
      </c>
      <c r="D38" s="17"/>
      <c r="E38" s="18"/>
    </row>
    <row r="39" spans="1:5" ht="30" customHeight="1" x14ac:dyDescent="0.3">
      <c r="A39" s="15" t="s">
        <v>252</v>
      </c>
      <c r="B39" s="16" t="s">
        <v>253</v>
      </c>
      <c r="C39" s="16" t="s">
        <v>254</v>
      </c>
      <c r="D39" s="17"/>
      <c r="E39" s="18"/>
    </row>
    <row r="40" spans="1:5" ht="30" customHeight="1" x14ac:dyDescent="0.3">
      <c r="A40" s="15" t="s">
        <v>255</v>
      </c>
      <c r="B40" s="16" t="s">
        <v>256</v>
      </c>
      <c r="C40" s="16" t="s">
        <v>257</v>
      </c>
      <c r="D40" s="17"/>
      <c r="E40" s="18"/>
    </row>
    <row r="41" spans="1:5" ht="30" customHeight="1" x14ac:dyDescent="0.3">
      <c r="A41" s="15" t="s">
        <v>258</v>
      </c>
      <c r="B41" s="16" t="s">
        <v>259</v>
      </c>
      <c r="C41" s="16" t="s">
        <v>260</v>
      </c>
      <c r="D41" s="17"/>
      <c r="E41" s="18"/>
    </row>
    <row r="42" spans="1:5" ht="30" customHeight="1" x14ac:dyDescent="0.3">
      <c r="A42" s="15" t="s">
        <v>261</v>
      </c>
      <c r="B42" s="16" t="s">
        <v>262</v>
      </c>
      <c r="C42" s="16" t="s">
        <v>183</v>
      </c>
      <c r="D42" s="17"/>
      <c r="E42" s="18"/>
    </row>
  </sheetData>
  <mergeCells count="5">
    <mergeCell ref="A7:E7"/>
    <mergeCell ref="A28:E28"/>
    <mergeCell ref="A33:E33"/>
    <mergeCell ref="A1:E1"/>
    <mergeCell ref="A17:E17"/>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263</v>
      </c>
      <c r="B1" s="30"/>
      <c r="C1" s="30"/>
      <c r="D1" s="30"/>
      <c r="E1" s="30"/>
    </row>
    <row r="3" spans="1:5" x14ac:dyDescent="0.3">
      <c r="A3" s="12" t="s">
        <v>67</v>
      </c>
      <c r="B3" s="13" t="s">
        <v>26</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264</v>
      </c>
      <c r="B8" s="16" t="s">
        <v>265</v>
      </c>
      <c r="C8" s="16" t="s">
        <v>266</v>
      </c>
      <c r="D8" s="17"/>
      <c r="E8" s="18"/>
    </row>
    <row r="9" spans="1:5" ht="30" customHeight="1" x14ac:dyDescent="0.3">
      <c r="A9" s="15" t="s">
        <v>267</v>
      </c>
      <c r="B9" s="16" t="s">
        <v>268</v>
      </c>
      <c r="C9" s="16" t="s">
        <v>269</v>
      </c>
      <c r="D9" s="17"/>
      <c r="E9" s="18"/>
    </row>
    <row r="10" spans="1:5" ht="30" customHeight="1" x14ac:dyDescent="0.3">
      <c r="A10" s="15" t="s">
        <v>270</v>
      </c>
      <c r="B10" s="16" t="s">
        <v>271</v>
      </c>
      <c r="C10" s="16" t="s">
        <v>272</v>
      </c>
      <c r="D10" s="17"/>
      <c r="E10" s="18"/>
    </row>
    <row r="11" spans="1:5" ht="30" customHeight="1" x14ac:dyDescent="0.3">
      <c r="A11" s="15" t="s">
        <v>273</v>
      </c>
      <c r="B11" s="16" t="s">
        <v>274</v>
      </c>
      <c r="C11" s="16" t="s">
        <v>183</v>
      </c>
      <c r="D11" s="17"/>
      <c r="E11" s="18"/>
    </row>
    <row r="12" spans="1:5" ht="30" customHeight="1" x14ac:dyDescent="0.3">
      <c r="A12" s="15" t="s">
        <v>275</v>
      </c>
      <c r="B12" s="16" t="s">
        <v>276</v>
      </c>
      <c r="C12" s="16" t="s">
        <v>277</v>
      </c>
      <c r="D12" s="17"/>
      <c r="E12" s="18"/>
    </row>
    <row r="13" spans="1:5" ht="30" customHeight="1" x14ac:dyDescent="0.3">
      <c r="A13" s="15" t="s">
        <v>278</v>
      </c>
      <c r="B13" s="16" t="s">
        <v>279</v>
      </c>
      <c r="C13" s="16" t="s">
        <v>280</v>
      </c>
      <c r="D13" s="17"/>
      <c r="E13" s="18"/>
    </row>
    <row r="14" spans="1:5" ht="30" customHeight="1" x14ac:dyDescent="0.3">
      <c r="A14" s="15" t="s">
        <v>281</v>
      </c>
      <c r="B14" s="16" t="s">
        <v>282</v>
      </c>
      <c r="C14" s="16" t="s">
        <v>283</v>
      </c>
      <c r="D14" s="17"/>
      <c r="E14"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284</v>
      </c>
      <c r="B1" s="30"/>
      <c r="C1" s="30"/>
      <c r="D1" s="30"/>
      <c r="E1" s="30"/>
    </row>
    <row r="3" spans="1:5" x14ac:dyDescent="0.3">
      <c r="A3" s="12" t="s">
        <v>67</v>
      </c>
      <c r="B3" s="13" t="s">
        <v>29</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285</v>
      </c>
      <c r="B8" s="16" t="s">
        <v>286</v>
      </c>
      <c r="C8" s="16" t="s">
        <v>287</v>
      </c>
      <c r="D8" s="17"/>
      <c r="E8" s="18"/>
    </row>
    <row r="9" spans="1:5" ht="30" customHeight="1" x14ac:dyDescent="0.3">
      <c r="A9" s="15" t="s">
        <v>288</v>
      </c>
      <c r="B9" s="16" t="s">
        <v>289</v>
      </c>
      <c r="C9" s="16" t="s">
        <v>290</v>
      </c>
      <c r="D9" s="17"/>
      <c r="E9" s="18"/>
    </row>
    <row r="10" spans="1:5" ht="30" customHeight="1" x14ac:dyDescent="0.3">
      <c r="A10" s="15" t="s">
        <v>291</v>
      </c>
      <c r="B10" s="16" t="s">
        <v>292</v>
      </c>
      <c r="C10" s="16" t="s">
        <v>183</v>
      </c>
      <c r="D10" s="17"/>
      <c r="E10" s="18"/>
    </row>
    <row r="11" spans="1:5" ht="30" customHeight="1" x14ac:dyDescent="0.3">
      <c r="A11" s="15" t="s">
        <v>293</v>
      </c>
      <c r="B11" s="16" t="s">
        <v>294</v>
      </c>
      <c r="C11" s="16" t="s">
        <v>295</v>
      </c>
      <c r="D11" s="17"/>
      <c r="E11" s="18"/>
    </row>
    <row r="12" spans="1:5" ht="30" customHeight="1" x14ac:dyDescent="0.3">
      <c r="A12" s="15" t="s">
        <v>296</v>
      </c>
      <c r="B12" s="16" t="s">
        <v>297</v>
      </c>
      <c r="C12" s="16" t="s">
        <v>298</v>
      </c>
      <c r="D12" s="17"/>
      <c r="E12" s="18"/>
    </row>
    <row r="13" spans="1:5" ht="30" customHeight="1" x14ac:dyDescent="0.3">
      <c r="A13" s="15" t="s">
        <v>299</v>
      </c>
      <c r="B13" s="16" t="s">
        <v>300</v>
      </c>
      <c r="C13" s="16" t="s">
        <v>301</v>
      </c>
      <c r="D13" s="17"/>
      <c r="E13" s="18"/>
    </row>
    <row r="14" spans="1:5" ht="30" customHeight="1" x14ac:dyDescent="0.3">
      <c r="A14" s="15" t="s">
        <v>302</v>
      </c>
      <c r="B14" s="16" t="s">
        <v>303</v>
      </c>
      <c r="C14" s="16" t="s">
        <v>304</v>
      </c>
      <c r="D14" s="17"/>
      <c r="E14" s="18"/>
    </row>
    <row r="15" spans="1:5" ht="30" customHeight="1" x14ac:dyDescent="0.3">
      <c r="A15" s="15" t="s">
        <v>305</v>
      </c>
      <c r="B15" s="16" t="s">
        <v>306</v>
      </c>
      <c r="C15" s="16" t="s">
        <v>307</v>
      </c>
      <c r="D15" s="17"/>
      <c r="E15" s="18"/>
    </row>
    <row r="16" spans="1:5" ht="30" customHeight="1" x14ac:dyDescent="0.3">
      <c r="A16" s="15" t="s">
        <v>308</v>
      </c>
      <c r="B16" s="16" t="s">
        <v>282</v>
      </c>
      <c r="C16" s="16" t="s">
        <v>283</v>
      </c>
      <c r="D16" s="17"/>
      <c r="E16" s="18"/>
    </row>
    <row r="17" spans="1:5" ht="30" customHeight="1" x14ac:dyDescent="0.3">
      <c r="A17" s="15" t="s">
        <v>309</v>
      </c>
      <c r="B17" s="16" t="s">
        <v>310</v>
      </c>
      <c r="C17" s="16" t="s">
        <v>311</v>
      </c>
      <c r="D17" s="17"/>
      <c r="E17" s="18"/>
    </row>
    <row r="18" spans="1:5" ht="30" customHeight="1" x14ac:dyDescent="0.3">
      <c r="A18" s="15" t="s">
        <v>312</v>
      </c>
      <c r="B18" s="16" t="s">
        <v>313</v>
      </c>
      <c r="C18" s="16" t="s">
        <v>183</v>
      </c>
      <c r="D18" s="17"/>
      <c r="E18" s="18"/>
    </row>
    <row r="19" spans="1:5" ht="30" customHeight="1" x14ac:dyDescent="0.3">
      <c r="A19" s="15" t="s">
        <v>314</v>
      </c>
      <c r="B19" s="16" t="s">
        <v>315</v>
      </c>
      <c r="C19" s="16" t="s">
        <v>316</v>
      </c>
      <c r="D19" s="17"/>
      <c r="E19"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317</v>
      </c>
      <c r="B1" s="30"/>
      <c r="C1" s="30"/>
      <c r="D1" s="30"/>
      <c r="E1" s="30"/>
    </row>
    <row r="3" spans="1:5" x14ac:dyDescent="0.3">
      <c r="A3" s="12" t="s">
        <v>67</v>
      </c>
      <c r="B3" s="13" t="s">
        <v>26</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318</v>
      </c>
      <c r="B8" s="16" t="s">
        <v>319</v>
      </c>
      <c r="C8" s="16" t="s">
        <v>320</v>
      </c>
      <c r="D8" s="17"/>
      <c r="E8" s="18"/>
    </row>
    <row r="9" spans="1:5" ht="30" customHeight="1" x14ac:dyDescent="0.3">
      <c r="A9" s="15" t="s">
        <v>321</v>
      </c>
      <c r="B9" s="16" t="s">
        <v>322</v>
      </c>
      <c r="C9" s="16" t="s">
        <v>323</v>
      </c>
      <c r="D9" s="17"/>
      <c r="E9" s="18"/>
    </row>
    <row r="10" spans="1:5" ht="30" customHeight="1" x14ac:dyDescent="0.3">
      <c r="A10" s="15" t="s">
        <v>324</v>
      </c>
      <c r="B10" s="16" t="s">
        <v>325</v>
      </c>
      <c r="C10" s="16" t="s">
        <v>326</v>
      </c>
      <c r="D10" s="17"/>
      <c r="E10" s="18"/>
    </row>
    <row r="11" spans="1:5" ht="30" customHeight="1" x14ac:dyDescent="0.3">
      <c r="A11" s="15" t="s">
        <v>327</v>
      </c>
      <c r="B11" s="16" t="s">
        <v>328</v>
      </c>
      <c r="C11" s="16" t="s">
        <v>183</v>
      </c>
      <c r="D11" s="17"/>
      <c r="E11" s="18"/>
    </row>
    <row r="12" spans="1:5" ht="30" customHeight="1" x14ac:dyDescent="0.3">
      <c r="A12" s="15" t="s">
        <v>329</v>
      </c>
      <c r="B12" s="16" t="s">
        <v>282</v>
      </c>
      <c r="C12" s="16" t="s">
        <v>283</v>
      </c>
      <c r="D12" s="17"/>
      <c r="E12"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6" topLeftCell="A3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330</v>
      </c>
      <c r="B1" s="30"/>
      <c r="C1" s="30"/>
      <c r="D1" s="30"/>
      <c r="E1" s="30"/>
    </row>
    <row r="3" spans="1:5" x14ac:dyDescent="0.3">
      <c r="A3" s="12" t="s">
        <v>67</v>
      </c>
      <c r="B3" s="13" t="s">
        <v>34</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331</v>
      </c>
      <c r="B8" s="16" t="s">
        <v>332</v>
      </c>
      <c r="C8" s="16" t="s">
        <v>333</v>
      </c>
      <c r="D8" s="17"/>
      <c r="E8" s="18"/>
    </row>
    <row r="9" spans="1:5" ht="30" customHeight="1" x14ac:dyDescent="0.3">
      <c r="A9" s="15" t="s">
        <v>334</v>
      </c>
      <c r="B9" s="16" t="s">
        <v>335</v>
      </c>
      <c r="C9" s="16" t="s">
        <v>336</v>
      </c>
      <c r="D9" s="17"/>
      <c r="E9" s="18"/>
    </row>
    <row r="10" spans="1:5" ht="30" customHeight="1" x14ac:dyDescent="0.3">
      <c r="A10" s="15" t="s">
        <v>337</v>
      </c>
      <c r="B10" s="16" t="s">
        <v>338</v>
      </c>
      <c r="C10" s="16" t="s">
        <v>339</v>
      </c>
      <c r="D10" s="17"/>
      <c r="E10" s="18"/>
    </row>
    <row r="11" spans="1:5" ht="30" customHeight="1" x14ac:dyDescent="0.3">
      <c r="A11" s="15" t="s">
        <v>340</v>
      </c>
      <c r="B11" s="16" t="s">
        <v>341</v>
      </c>
      <c r="C11" s="16" t="s">
        <v>342</v>
      </c>
      <c r="D11" s="17"/>
      <c r="E11" s="18"/>
    </row>
    <row r="12" spans="1:5" ht="30" customHeight="1" x14ac:dyDescent="0.3">
      <c r="A12" s="15" t="s">
        <v>343</v>
      </c>
      <c r="B12" s="16" t="s">
        <v>344</v>
      </c>
      <c r="C12" s="16" t="s">
        <v>345</v>
      </c>
      <c r="D12" s="17"/>
      <c r="E12" s="18"/>
    </row>
    <row r="13" spans="1:5" ht="30" customHeight="1" x14ac:dyDescent="0.3">
      <c r="A13" s="15" t="s">
        <v>346</v>
      </c>
      <c r="B13" s="16" t="s">
        <v>347</v>
      </c>
      <c r="C13" s="16" t="s">
        <v>348</v>
      </c>
      <c r="D13" s="17"/>
      <c r="E13" s="18"/>
    </row>
    <row r="14" spans="1:5" ht="30" customHeight="1" x14ac:dyDescent="0.3">
      <c r="A14" s="15" t="s">
        <v>349</v>
      </c>
      <c r="B14" s="16" t="s">
        <v>350</v>
      </c>
      <c r="C14" s="16" t="s">
        <v>351</v>
      </c>
      <c r="D14" s="17"/>
      <c r="E14" s="18"/>
    </row>
    <row r="15" spans="1:5" ht="30" customHeight="1" x14ac:dyDescent="0.3">
      <c r="A15" s="15" t="s">
        <v>352</v>
      </c>
      <c r="B15" s="16" t="s">
        <v>353</v>
      </c>
      <c r="C15" s="16" t="s">
        <v>354</v>
      </c>
      <c r="D15" s="17"/>
      <c r="E15" s="18"/>
    </row>
    <row r="16" spans="1:5" ht="30" customHeight="1" x14ac:dyDescent="0.3">
      <c r="A16" s="15" t="s">
        <v>355</v>
      </c>
      <c r="B16" s="16" t="s">
        <v>356</v>
      </c>
      <c r="C16" s="16" t="s">
        <v>357</v>
      </c>
      <c r="D16" s="17"/>
      <c r="E16" s="18"/>
    </row>
    <row r="17" spans="1:5" ht="30" customHeight="1" x14ac:dyDescent="0.3">
      <c r="A17" s="15" t="s">
        <v>358</v>
      </c>
      <c r="B17" s="16" t="s">
        <v>359</v>
      </c>
      <c r="C17" s="16" t="s">
        <v>360</v>
      </c>
      <c r="D17" s="17"/>
      <c r="E17" s="18"/>
    </row>
    <row r="18" spans="1:5" ht="30" customHeight="1" x14ac:dyDescent="0.3">
      <c r="A18" s="15" t="s">
        <v>361</v>
      </c>
      <c r="B18" s="16" t="s">
        <v>362</v>
      </c>
      <c r="C18" s="16" t="s">
        <v>363</v>
      </c>
      <c r="D18" s="17"/>
      <c r="E18" s="18"/>
    </row>
    <row r="19" spans="1:5" ht="30" customHeight="1" x14ac:dyDescent="0.3">
      <c r="A19" s="15" t="s">
        <v>364</v>
      </c>
      <c r="B19" s="16" t="s">
        <v>365</v>
      </c>
      <c r="C19" s="16" t="s">
        <v>366</v>
      </c>
      <c r="D19" s="17"/>
      <c r="E19" s="18"/>
    </row>
    <row r="20" spans="1:5" ht="30" customHeight="1" x14ac:dyDescent="0.3">
      <c r="A20" s="15" t="s">
        <v>367</v>
      </c>
      <c r="B20" s="16" t="s">
        <v>368</v>
      </c>
      <c r="C20" s="16" t="s">
        <v>369</v>
      </c>
      <c r="D20" s="17"/>
      <c r="E20" s="18"/>
    </row>
    <row r="21" spans="1:5" ht="30" customHeight="1" x14ac:dyDescent="0.3">
      <c r="A21" s="15" t="s">
        <v>370</v>
      </c>
      <c r="B21" s="16" t="s">
        <v>371</v>
      </c>
      <c r="C21" s="16" t="s">
        <v>372</v>
      </c>
      <c r="D21" s="17"/>
      <c r="E21"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373</v>
      </c>
      <c r="B1" s="30"/>
      <c r="C1" s="30"/>
      <c r="D1" s="30"/>
      <c r="E1" s="30"/>
    </row>
    <row r="3" spans="1:5" x14ac:dyDescent="0.3">
      <c r="A3" s="12" t="s">
        <v>67</v>
      </c>
      <c r="B3" s="13" t="s">
        <v>26</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374</v>
      </c>
      <c r="B8" s="16" t="s">
        <v>375</v>
      </c>
      <c r="C8" s="16" t="s">
        <v>376</v>
      </c>
      <c r="D8" s="17"/>
      <c r="E8" s="18"/>
    </row>
    <row r="9" spans="1:5" ht="30" customHeight="1" x14ac:dyDescent="0.3">
      <c r="A9" s="15" t="s">
        <v>377</v>
      </c>
      <c r="B9" s="16" t="s">
        <v>378</v>
      </c>
      <c r="C9" s="16" t="s">
        <v>379</v>
      </c>
      <c r="D9" s="17"/>
      <c r="E9" s="18"/>
    </row>
    <row r="10" spans="1:5" ht="30" customHeight="1" x14ac:dyDescent="0.3">
      <c r="A10" s="15" t="s">
        <v>380</v>
      </c>
      <c r="B10" s="16" t="s">
        <v>381</v>
      </c>
      <c r="C10" s="16" t="s">
        <v>382</v>
      </c>
      <c r="D10" s="17"/>
      <c r="E10" s="18"/>
    </row>
    <row r="11" spans="1:5" ht="30" customHeight="1" x14ac:dyDescent="0.3">
      <c r="A11" s="15" t="s">
        <v>383</v>
      </c>
      <c r="B11" s="16" t="s">
        <v>384</v>
      </c>
      <c r="C11" s="16" t="s">
        <v>385</v>
      </c>
      <c r="D11" s="17"/>
      <c r="E11" s="18"/>
    </row>
    <row r="12" spans="1:5" ht="30" customHeight="1" x14ac:dyDescent="0.3">
      <c r="A12" s="15" t="s">
        <v>386</v>
      </c>
      <c r="B12" s="16" t="s">
        <v>387</v>
      </c>
      <c r="C12" s="16" t="s">
        <v>388</v>
      </c>
      <c r="D12" s="17"/>
      <c r="E12" s="18"/>
    </row>
    <row r="13" spans="1:5" ht="30" customHeight="1" x14ac:dyDescent="0.3">
      <c r="A13" s="15" t="s">
        <v>389</v>
      </c>
      <c r="B13" s="16" t="s">
        <v>390</v>
      </c>
      <c r="C13" s="16" t="s">
        <v>391</v>
      </c>
      <c r="D13" s="17"/>
      <c r="E13"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6" topLeftCell="A7" activePane="bottomLeft" state="frozen"/>
      <selection pane="bottomLeft" sqref="A1:E1"/>
    </sheetView>
  </sheetViews>
  <sheetFormatPr defaultRowHeight="14.4" x14ac:dyDescent="0.3"/>
  <cols>
    <col min="1" max="1" width="14.21875" customWidth="1"/>
    <col min="2" max="3" width="62" customWidth="1"/>
    <col min="4" max="4" width="9" customWidth="1"/>
    <col min="5" max="5" width="34" customWidth="1"/>
  </cols>
  <sheetData>
    <row r="1" spans="1:5" ht="25.95" customHeight="1" x14ac:dyDescent="0.3">
      <c r="A1" s="34" t="s">
        <v>392</v>
      </c>
      <c r="B1" s="30"/>
      <c r="C1" s="30"/>
      <c r="D1" s="30"/>
      <c r="E1" s="30"/>
    </row>
    <row r="3" spans="1:5" x14ac:dyDescent="0.3">
      <c r="A3" s="12" t="s">
        <v>67</v>
      </c>
      <c r="B3" s="13" t="s">
        <v>17</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393</v>
      </c>
      <c r="B8" s="16" t="s">
        <v>394</v>
      </c>
      <c r="C8" s="16" t="s">
        <v>395</v>
      </c>
      <c r="D8" s="17"/>
      <c r="E8" s="18"/>
    </row>
    <row r="9" spans="1:5" ht="30" customHeight="1" x14ac:dyDescent="0.3">
      <c r="A9" s="15" t="s">
        <v>396</v>
      </c>
      <c r="B9" s="16" t="s">
        <v>397</v>
      </c>
      <c r="C9" s="16" t="s">
        <v>398</v>
      </c>
      <c r="D9" s="17"/>
      <c r="E9" s="18"/>
    </row>
    <row r="10" spans="1:5" ht="30" customHeight="1" x14ac:dyDescent="0.3">
      <c r="A10" s="15" t="s">
        <v>399</v>
      </c>
      <c r="B10" s="16" t="s">
        <v>400</v>
      </c>
      <c r="C10" s="16" t="s">
        <v>401</v>
      </c>
      <c r="D10" s="17"/>
      <c r="E10" s="18"/>
    </row>
    <row r="11" spans="1:5" ht="30" customHeight="1" x14ac:dyDescent="0.3">
      <c r="A11" s="15" t="s">
        <v>402</v>
      </c>
      <c r="B11" s="16" t="s">
        <v>403</v>
      </c>
      <c r="C11" s="16" t="s">
        <v>404</v>
      </c>
      <c r="D11" s="17"/>
      <c r="E11" s="18"/>
    </row>
    <row r="12" spans="1:5" ht="30" customHeight="1" x14ac:dyDescent="0.3">
      <c r="A12" s="15" t="s">
        <v>405</v>
      </c>
      <c r="B12" s="16" t="s">
        <v>406</v>
      </c>
      <c r="C12" s="16" t="s">
        <v>407</v>
      </c>
      <c r="D12" s="17"/>
      <c r="E12" s="18"/>
    </row>
    <row r="13" spans="1:5" ht="30" customHeight="1" x14ac:dyDescent="0.3">
      <c r="A13" s="15" t="s">
        <v>408</v>
      </c>
      <c r="B13" s="16" t="s">
        <v>409</v>
      </c>
      <c r="C13" s="16" t="s">
        <v>410</v>
      </c>
      <c r="D13" s="17"/>
      <c r="E13"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411</v>
      </c>
      <c r="B1" s="30"/>
      <c r="C1" s="30"/>
      <c r="D1" s="30"/>
      <c r="E1" s="30"/>
    </row>
    <row r="3" spans="1:5" x14ac:dyDescent="0.3">
      <c r="A3" s="12" t="s">
        <v>67</v>
      </c>
      <c r="B3" s="13" t="s">
        <v>41</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x14ac:dyDescent="0.3">
      <c r="A7" s="35" t="s">
        <v>412</v>
      </c>
      <c r="B7" s="30"/>
      <c r="C7" s="30"/>
      <c r="D7" s="30"/>
      <c r="E7" s="30"/>
    </row>
    <row r="8" spans="1:5" ht="22.05" customHeight="1" x14ac:dyDescent="0.3">
      <c r="A8" s="2" t="s">
        <v>68</v>
      </c>
      <c r="B8" s="2" t="s">
        <v>69</v>
      </c>
      <c r="C8" s="2" t="s">
        <v>70</v>
      </c>
      <c r="D8" s="2" t="s">
        <v>71</v>
      </c>
      <c r="E8" s="2" t="s">
        <v>72</v>
      </c>
    </row>
    <row r="9" spans="1:5" ht="30" customHeight="1" x14ac:dyDescent="0.3">
      <c r="A9" s="15" t="s">
        <v>413</v>
      </c>
      <c r="B9" s="16" t="s">
        <v>414</v>
      </c>
      <c r="C9" s="16" t="s">
        <v>415</v>
      </c>
      <c r="D9" s="17"/>
      <c r="E9" s="18"/>
    </row>
    <row r="10" spans="1:5" ht="30" customHeight="1" x14ac:dyDescent="0.3">
      <c r="A10" s="15" t="s">
        <v>416</v>
      </c>
      <c r="B10" s="16" t="s">
        <v>417</v>
      </c>
      <c r="C10" s="16" t="s">
        <v>418</v>
      </c>
      <c r="D10" s="17"/>
      <c r="E10" s="18"/>
    </row>
    <row r="11" spans="1:5" ht="30" customHeight="1" x14ac:dyDescent="0.3">
      <c r="A11" s="15" t="s">
        <v>419</v>
      </c>
      <c r="B11" s="16" t="s">
        <v>420</v>
      </c>
      <c r="C11" s="16" t="s">
        <v>421</v>
      </c>
      <c r="D11" s="17"/>
      <c r="E11" s="18"/>
    </row>
    <row r="12" spans="1:5" ht="30" customHeight="1" x14ac:dyDescent="0.3">
      <c r="A12" s="15" t="s">
        <v>422</v>
      </c>
      <c r="B12" s="16" t="s">
        <v>423</v>
      </c>
      <c r="C12" s="16" t="s">
        <v>424</v>
      </c>
      <c r="D12" s="17"/>
      <c r="E12" s="18"/>
    </row>
    <row r="13" spans="1:5" ht="30" customHeight="1" x14ac:dyDescent="0.3">
      <c r="A13" s="15" t="s">
        <v>425</v>
      </c>
      <c r="B13" s="16" t="s">
        <v>426</v>
      </c>
      <c r="C13" s="16" t="s">
        <v>427</v>
      </c>
      <c r="D13" s="17"/>
      <c r="E13" s="18"/>
    </row>
    <row r="14" spans="1:5" ht="30" customHeight="1" x14ac:dyDescent="0.3">
      <c r="A14" s="15" t="s">
        <v>428</v>
      </c>
      <c r="B14" s="16" t="s">
        <v>429</v>
      </c>
      <c r="C14" s="16" t="s">
        <v>430</v>
      </c>
      <c r="D14" s="17"/>
      <c r="E14" s="18"/>
    </row>
    <row r="15" spans="1:5" ht="30" customHeight="1" x14ac:dyDescent="0.3">
      <c r="A15" s="15" t="s">
        <v>431</v>
      </c>
      <c r="B15" s="16" t="s">
        <v>432</v>
      </c>
      <c r="C15" s="16" t="s">
        <v>433</v>
      </c>
      <c r="D15" s="17"/>
      <c r="E15" s="18"/>
    </row>
    <row r="16" spans="1:5" ht="30" customHeight="1" x14ac:dyDescent="0.3">
      <c r="A16" s="15" t="s">
        <v>434</v>
      </c>
      <c r="B16" s="16" t="s">
        <v>435</v>
      </c>
      <c r="C16" s="16" t="s">
        <v>436</v>
      </c>
      <c r="D16" s="17"/>
      <c r="E16" s="18"/>
    </row>
    <row r="17" spans="1:5" ht="30" customHeight="1" x14ac:dyDescent="0.3">
      <c r="A17" s="15" t="s">
        <v>437</v>
      </c>
      <c r="B17" s="16" t="s">
        <v>282</v>
      </c>
      <c r="C17" s="16" t="s">
        <v>438</v>
      </c>
      <c r="D17" s="17"/>
      <c r="E17" s="18"/>
    </row>
    <row r="18" spans="1:5" ht="30" customHeight="1" x14ac:dyDescent="0.3">
      <c r="A18" s="15" t="s">
        <v>439</v>
      </c>
      <c r="B18" s="16" t="s">
        <v>440</v>
      </c>
      <c r="C18" s="16" t="s">
        <v>441</v>
      </c>
      <c r="D18" s="17"/>
      <c r="E18" s="18"/>
    </row>
    <row r="19" spans="1:5" ht="30" customHeight="1" x14ac:dyDescent="0.3">
      <c r="A19" s="15" t="s">
        <v>442</v>
      </c>
      <c r="B19" s="16" t="s">
        <v>443</v>
      </c>
      <c r="C19" s="16" t="s">
        <v>304</v>
      </c>
      <c r="D19" s="17"/>
      <c r="E19" s="18"/>
    </row>
    <row r="20" spans="1:5" ht="30" customHeight="1" x14ac:dyDescent="0.3">
      <c r="A20" s="15" t="s">
        <v>444</v>
      </c>
      <c r="B20" s="16" t="s">
        <v>445</v>
      </c>
      <c r="C20" s="16" t="s">
        <v>446</v>
      </c>
      <c r="D20" s="17"/>
      <c r="E20" s="18"/>
    </row>
    <row r="22" spans="1:5" x14ac:dyDescent="0.3">
      <c r="A22" s="35" t="s">
        <v>447</v>
      </c>
      <c r="B22" s="30"/>
      <c r="C22" s="30"/>
      <c r="D22" s="30"/>
      <c r="E22" s="30"/>
    </row>
    <row r="23" spans="1:5" ht="22.05" customHeight="1" x14ac:dyDescent="0.3">
      <c r="A23" s="2" t="s">
        <v>68</v>
      </c>
      <c r="B23" s="2" t="s">
        <v>69</v>
      </c>
      <c r="C23" s="2" t="s">
        <v>70</v>
      </c>
      <c r="D23" s="2" t="s">
        <v>71</v>
      </c>
      <c r="E23" s="2" t="s">
        <v>72</v>
      </c>
    </row>
    <row r="24" spans="1:5" ht="30" customHeight="1" x14ac:dyDescent="0.3">
      <c r="A24" s="15" t="s">
        <v>448</v>
      </c>
      <c r="B24" s="16" t="s">
        <v>449</v>
      </c>
      <c r="C24" s="16" t="s">
        <v>450</v>
      </c>
      <c r="D24" s="17"/>
      <c r="E24" s="18"/>
    </row>
    <row r="25" spans="1:5" ht="30" customHeight="1" x14ac:dyDescent="0.3">
      <c r="A25" s="15" t="s">
        <v>451</v>
      </c>
      <c r="B25" s="16" t="s">
        <v>452</v>
      </c>
      <c r="C25" s="16" t="s">
        <v>453</v>
      </c>
      <c r="D25" s="17"/>
      <c r="E25" s="18"/>
    </row>
    <row r="26" spans="1:5" ht="30" customHeight="1" x14ac:dyDescent="0.3">
      <c r="A26" s="15" t="s">
        <v>454</v>
      </c>
      <c r="B26" s="16" t="s">
        <v>455</v>
      </c>
      <c r="C26" s="16" t="s">
        <v>456</v>
      </c>
      <c r="D26" s="17"/>
      <c r="E26" s="18"/>
    </row>
    <row r="27" spans="1:5" ht="30" customHeight="1" x14ac:dyDescent="0.3">
      <c r="A27" s="15" t="s">
        <v>457</v>
      </c>
      <c r="B27" s="16" t="s">
        <v>458</v>
      </c>
      <c r="C27" s="16" t="s">
        <v>459</v>
      </c>
      <c r="D27" s="17"/>
      <c r="E27" s="18"/>
    </row>
    <row r="28" spans="1:5" ht="30" customHeight="1" x14ac:dyDescent="0.3">
      <c r="A28" s="15" t="s">
        <v>460</v>
      </c>
      <c r="B28" s="16" t="s">
        <v>461</v>
      </c>
      <c r="C28" s="16" t="s">
        <v>462</v>
      </c>
      <c r="D28" s="17"/>
      <c r="E28" s="18"/>
    </row>
    <row r="29" spans="1:5" ht="30" customHeight="1" x14ac:dyDescent="0.3">
      <c r="A29" s="15" t="s">
        <v>463</v>
      </c>
      <c r="B29" s="16" t="s">
        <v>464</v>
      </c>
      <c r="C29" s="16" t="s">
        <v>465</v>
      </c>
      <c r="D29" s="17"/>
      <c r="E29" s="18"/>
    </row>
  </sheetData>
  <mergeCells count="3">
    <mergeCell ref="A22:E22"/>
    <mergeCell ref="A1:E1"/>
    <mergeCell ref="A7:E7"/>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6" topLeftCell="A7" activePane="bottomLeft" state="frozen"/>
      <selection pane="bottomLeft" activeCell="B4" sqref="B4"/>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466</v>
      </c>
      <c r="B1" s="30"/>
      <c r="C1" s="30"/>
      <c r="D1" s="30"/>
      <c r="E1" s="30"/>
    </row>
    <row r="3" spans="1:5" x14ac:dyDescent="0.3">
      <c r="A3" s="12" t="s">
        <v>67</v>
      </c>
      <c r="B3" s="13" t="s">
        <v>652</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467</v>
      </c>
      <c r="B8" s="16" t="s">
        <v>234</v>
      </c>
      <c r="C8" s="16" t="s">
        <v>468</v>
      </c>
      <c r="D8" s="17"/>
      <c r="E8" s="18"/>
    </row>
    <row r="9" spans="1:5" ht="30" customHeight="1" x14ac:dyDescent="0.3">
      <c r="A9" s="15" t="s">
        <v>469</v>
      </c>
      <c r="B9" s="16" t="s">
        <v>470</v>
      </c>
      <c r="C9" s="16" t="s">
        <v>471</v>
      </c>
      <c r="D9" s="17"/>
      <c r="E9" s="18"/>
    </row>
    <row r="10" spans="1:5" ht="30" customHeight="1" x14ac:dyDescent="0.3">
      <c r="A10" s="15" t="s">
        <v>472</v>
      </c>
      <c r="B10" s="16" t="s">
        <v>473</v>
      </c>
      <c r="C10" s="16" t="s">
        <v>474</v>
      </c>
      <c r="D10" s="17"/>
      <c r="E10" s="18"/>
    </row>
    <row r="11" spans="1:5" ht="30" customHeight="1" x14ac:dyDescent="0.3">
      <c r="A11" s="15" t="s">
        <v>475</v>
      </c>
      <c r="B11" s="16" t="s">
        <v>476</v>
      </c>
      <c r="C11" s="16" t="s">
        <v>477</v>
      </c>
      <c r="D11" s="17"/>
      <c r="E11" s="18"/>
    </row>
    <row r="12" spans="1:5" ht="30" customHeight="1" x14ac:dyDescent="0.3">
      <c r="A12" s="15" t="s">
        <v>478</v>
      </c>
      <c r="B12" s="16" t="s">
        <v>282</v>
      </c>
      <c r="C12" s="16" t="s">
        <v>283</v>
      </c>
      <c r="D12" s="17"/>
      <c r="E12" s="18"/>
    </row>
    <row r="13" spans="1:5" ht="30" customHeight="1" x14ac:dyDescent="0.3">
      <c r="A13" s="15" t="s">
        <v>479</v>
      </c>
      <c r="B13" s="16" t="s">
        <v>480</v>
      </c>
      <c r="C13" s="16" t="s">
        <v>481</v>
      </c>
      <c r="D13" s="17"/>
      <c r="E13" s="18"/>
    </row>
    <row r="14" spans="1:5" ht="30" customHeight="1" x14ac:dyDescent="0.3">
      <c r="A14" s="15" t="s">
        <v>482</v>
      </c>
      <c r="B14" s="16" t="s">
        <v>483</v>
      </c>
      <c r="C14" s="16" t="s">
        <v>484</v>
      </c>
      <c r="D14" s="17"/>
      <c r="E14"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485</v>
      </c>
      <c r="B1" s="30"/>
      <c r="C1" s="30"/>
      <c r="D1" s="30"/>
      <c r="E1" s="30"/>
    </row>
    <row r="3" spans="1:5" x14ac:dyDescent="0.3">
      <c r="A3" s="12" t="s">
        <v>67</v>
      </c>
      <c r="B3" s="13" t="s">
        <v>47</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486</v>
      </c>
      <c r="B8" s="16" t="s">
        <v>487</v>
      </c>
      <c r="C8" s="16" t="s">
        <v>488</v>
      </c>
      <c r="D8" s="17"/>
      <c r="E8" s="18"/>
    </row>
    <row r="9" spans="1:5" ht="30" customHeight="1" x14ac:dyDescent="0.3">
      <c r="A9" s="15" t="s">
        <v>489</v>
      </c>
      <c r="B9" s="16" t="s">
        <v>490</v>
      </c>
      <c r="C9" s="16" t="s">
        <v>491</v>
      </c>
      <c r="D9" s="17"/>
      <c r="E9" s="18"/>
    </row>
    <row r="10" spans="1:5" ht="30" customHeight="1" x14ac:dyDescent="0.3">
      <c r="A10" s="15" t="s">
        <v>492</v>
      </c>
      <c r="B10" s="16" t="s">
        <v>493</v>
      </c>
      <c r="C10" s="16" t="s">
        <v>494</v>
      </c>
      <c r="D10" s="17"/>
      <c r="E10" s="18"/>
    </row>
    <row r="11" spans="1:5" ht="30" customHeight="1" x14ac:dyDescent="0.3">
      <c r="A11" s="15" t="s">
        <v>495</v>
      </c>
      <c r="B11" s="16" t="s">
        <v>496</v>
      </c>
      <c r="C11" s="16" t="s">
        <v>183</v>
      </c>
      <c r="D11" s="17"/>
      <c r="E11" s="18"/>
    </row>
    <row r="12" spans="1:5" ht="30" customHeight="1" x14ac:dyDescent="0.3">
      <c r="A12" s="15" t="s">
        <v>497</v>
      </c>
      <c r="B12" s="16" t="s">
        <v>498</v>
      </c>
      <c r="C12" s="16" t="s">
        <v>499</v>
      </c>
      <c r="D12" s="17"/>
      <c r="E12" s="18"/>
    </row>
    <row r="13" spans="1:5" ht="30" customHeight="1" x14ac:dyDescent="0.3">
      <c r="A13" s="15" t="s">
        <v>500</v>
      </c>
      <c r="B13" s="16" t="s">
        <v>501</v>
      </c>
      <c r="C13" s="16" t="s">
        <v>502</v>
      </c>
      <c r="D13" s="17"/>
      <c r="E13" s="18"/>
    </row>
    <row r="14" spans="1:5" ht="30" customHeight="1" x14ac:dyDescent="0.3">
      <c r="A14" s="15" t="s">
        <v>503</v>
      </c>
      <c r="B14" s="16" t="s">
        <v>504</v>
      </c>
      <c r="C14" s="16" t="s">
        <v>505</v>
      </c>
      <c r="D14" s="17"/>
      <c r="E14" s="18"/>
    </row>
    <row r="15" spans="1:5" ht="30" customHeight="1" x14ac:dyDescent="0.3">
      <c r="A15" s="15" t="s">
        <v>506</v>
      </c>
      <c r="B15" s="16" t="s">
        <v>507</v>
      </c>
      <c r="C15" s="16" t="s">
        <v>508</v>
      </c>
      <c r="D15" s="17"/>
      <c r="E15" s="18"/>
    </row>
    <row r="16" spans="1:5" ht="30" customHeight="1" x14ac:dyDescent="0.3">
      <c r="A16" s="15" t="s">
        <v>509</v>
      </c>
      <c r="B16" s="16" t="s">
        <v>510</v>
      </c>
      <c r="C16" s="16" t="s">
        <v>511</v>
      </c>
      <c r="D16" s="17"/>
      <c r="E16" s="18"/>
    </row>
    <row r="17" spans="1:5" ht="30" customHeight="1" x14ac:dyDescent="0.3">
      <c r="A17" s="15" t="s">
        <v>512</v>
      </c>
      <c r="B17" s="16" t="s">
        <v>513</v>
      </c>
      <c r="C17" s="16" t="s">
        <v>514</v>
      </c>
      <c r="D17" s="17"/>
      <c r="E17" s="18"/>
    </row>
    <row r="18" spans="1:5" ht="30" customHeight="1" x14ac:dyDescent="0.3">
      <c r="A18" s="15" t="s">
        <v>515</v>
      </c>
      <c r="B18" s="16" t="s">
        <v>516</v>
      </c>
      <c r="C18" s="16" t="s">
        <v>517</v>
      </c>
      <c r="D18" s="17"/>
      <c r="E18"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workbookViewId="0">
      <pane ySplit="6" topLeftCell="A7" activePane="bottomLeft" state="frozen"/>
      <selection pane="bottomLeft" sqref="A1:E1"/>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518</v>
      </c>
      <c r="B1" s="30"/>
      <c r="C1" s="30"/>
      <c r="D1" s="30"/>
      <c r="E1" s="30"/>
    </row>
    <row r="3" spans="1:5" x14ac:dyDescent="0.3">
      <c r="A3" s="12" t="s">
        <v>67</v>
      </c>
      <c r="B3" s="13" t="s">
        <v>47</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x14ac:dyDescent="0.3">
      <c r="A7" s="35" t="s">
        <v>519</v>
      </c>
      <c r="B7" s="30"/>
      <c r="C7" s="30"/>
      <c r="D7" s="30"/>
      <c r="E7" s="30"/>
    </row>
    <row r="8" spans="1:5" ht="22.05" customHeight="1" x14ac:dyDescent="0.3">
      <c r="A8" s="2" t="s">
        <v>68</v>
      </c>
      <c r="B8" s="2" t="s">
        <v>69</v>
      </c>
      <c r="C8" s="2" t="s">
        <v>70</v>
      </c>
      <c r="D8" s="2" t="s">
        <v>71</v>
      </c>
      <c r="E8" s="2" t="s">
        <v>72</v>
      </c>
    </row>
    <row r="9" spans="1:5" ht="30" customHeight="1" x14ac:dyDescent="0.3">
      <c r="A9" s="15" t="s">
        <v>520</v>
      </c>
      <c r="B9" s="16" t="s">
        <v>521</v>
      </c>
      <c r="C9" s="16" t="s">
        <v>522</v>
      </c>
      <c r="D9" s="17"/>
      <c r="E9" s="18"/>
    </row>
    <row r="10" spans="1:5" ht="30" customHeight="1" x14ac:dyDescent="0.3">
      <c r="A10" s="15" t="s">
        <v>523</v>
      </c>
      <c r="B10" s="16" t="s">
        <v>524</v>
      </c>
      <c r="C10" s="16" t="s">
        <v>525</v>
      </c>
      <c r="D10" s="17"/>
      <c r="E10" s="18"/>
    </row>
    <row r="11" spans="1:5" ht="30" customHeight="1" x14ac:dyDescent="0.3">
      <c r="A11" s="15" t="s">
        <v>526</v>
      </c>
      <c r="B11" s="16" t="s">
        <v>527</v>
      </c>
      <c r="C11" s="16" t="s">
        <v>528</v>
      </c>
      <c r="D11" s="17"/>
      <c r="E11" s="18"/>
    </row>
    <row r="12" spans="1:5" ht="30" customHeight="1" x14ac:dyDescent="0.3">
      <c r="A12" s="15" t="s">
        <v>529</v>
      </c>
      <c r="B12" s="16" t="s">
        <v>530</v>
      </c>
      <c r="C12" s="16" t="s">
        <v>531</v>
      </c>
      <c r="D12" s="17"/>
      <c r="E12" s="18"/>
    </row>
    <row r="13" spans="1:5" ht="30" customHeight="1" x14ac:dyDescent="0.3">
      <c r="A13" s="15" t="s">
        <v>532</v>
      </c>
      <c r="B13" s="16" t="s">
        <v>533</v>
      </c>
      <c r="C13" s="16" t="s">
        <v>534</v>
      </c>
      <c r="D13" s="17"/>
      <c r="E13" s="18"/>
    </row>
    <row r="14" spans="1:5" ht="30" customHeight="1" x14ac:dyDescent="0.3">
      <c r="A14" s="15" t="s">
        <v>535</v>
      </c>
      <c r="B14" s="16" t="s">
        <v>536</v>
      </c>
      <c r="C14" s="16" t="s">
        <v>537</v>
      </c>
      <c r="D14" s="17"/>
      <c r="E14" s="18"/>
    </row>
    <row r="15" spans="1:5" ht="30" customHeight="1" x14ac:dyDescent="0.3">
      <c r="A15" s="15" t="s">
        <v>538</v>
      </c>
      <c r="B15" s="16" t="s">
        <v>539</v>
      </c>
      <c r="C15" s="16" t="s">
        <v>540</v>
      </c>
      <c r="D15" s="17"/>
      <c r="E15" s="18"/>
    </row>
    <row r="16" spans="1:5" ht="30" customHeight="1" x14ac:dyDescent="0.3">
      <c r="A16" s="15" t="s">
        <v>541</v>
      </c>
      <c r="B16" s="16" t="s">
        <v>542</v>
      </c>
      <c r="C16" s="16" t="s">
        <v>543</v>
      </c>
      <c r="D16" s="17"/>
      <c r="E16" s="18"/>
    </row>
    <row r="17" spans="1:5" ht="30" customHeight="1" x14ac:dyDescent="0.3">
      <c r="A17" s="15" t="s">
        <v>544</v>
      </c>
      <c r="B17" s="16" t="s">
        <v>545</v>
      </c>
      <c r="C17" s="16" t="s">
        <v>546</v>
      </c>
      <c r="D17" s="17"/>
      <c r="E17" s="18"/>
    </row>
    <row r="18" spans="1:5" ht="30" customHeight="1" x14ac:dyDescent="0.3">
      <c r="A18" s="15" t="s">
        <v>547</v>
      </c>
      <c r="B18" s="16" t="s">
        <v>548</v>
      </c>
      <c r="C18" s="16" t="s">
        <v>549</v>
      </c>
      <c r="D18" s="17"/>
      <c r="E18" s="18"/>
    </row>
    <row r="20" spans="1:5" x14ac:dyDescent="0.3">
      <c r="A20" s="35" t="s">
        <v>550</v>
      </c>
      <c r="B20" s="30"/>
      <c r="C20" s="30"/>
      <c r="D20" s="30"/>
      <c r="E20" s="30"/>
    </row>
    <row r="21" spans="1:5" ht="22.05" customHeight="1" x14ac:dyDescent="0.3">
      <c r="A21" s="2" t="s">
        <v>68</v>
      </c>
      <c r="B21" s="2" t="s">
        <v>551</v>
      </c>
      <c r="C21" s="2" t="s">
        <v>552</v>
      </c>
      <c r="D21" s="2" t="s">
        <v>71</v>
      </c>
      <c r="E21" s="2" t="s">
        <v>72</v>
      </c>
    </row>
    <row r="22" spans="1:5" ht="30" customHeight="1" x14ac:dyDescent="0.3">
      <c r="A22" s="15" t="s">
        <v>553</v>
      </c>
      <c r="B22" s="16" t="s">
        <v>554</v>
      </c>
      <c r="C22" s="16" t="s">
        <v>555</v>
      </c>
      <c r="D22" s="17"/>
      <c r="E22" s="18"/>
    </row>
    <row r="23" spans="1:5" ht="30" customHeight="1" x14ac:dyDescent="0.3">
      <c r="A23" s="15" t="s">
        <v>556</v>
      </c>
      <c r="B23" s="16" t="s">
        <v>557</v>
      </c>
      <c r="C23" s="16" t="s">
        <v>558</v>
      </c>
      <c r="D23" s="17"/>
      <c r="E23" s="18"/>
    </row>
    <row r="24" spans="1:5" ht="30" customHeight="1" x14ac:dyDescent="0.3">
      <c r="A24" s="15" t="s">
        <v>559</v>
      </c>
      <c r="B24" s="16" t="s">
        <v>560</v>
      </c>
      <c r="C24" s="16" t="s">
        <v>561</v>
      </c>
      <c r="D24" s="17"/>
      <c r="E24" s="18"/>
    </row>
    <row r="25" spans="1:5" ht="30" customHeight="1" x14ac:dyDescent="0.3">
      <c r="A25" s="15" t="s">
        <v>562</v>
      </c>
      <c r="B25" s="16" t="s">
        <v>563</v>
      </c>
      <c r="C25" s="16" t="s">
        <v>564</v>
      </c>
      <c r="D25" s="17"/>
      <c r="E25" s="18"/>
    </row>
    <row r="26" spans="1:5" ht="30" customHeight="1" x14ac:dyDescent="0.3">
      <c r="A26" s="15" t="s">
        <v>565</v>
      </c>
      <c r="B26" s="16" t="s">
        <v>566</v>
      </c>
      <c r="C26" s="16" t="s">
        <v>567</v>
      </c>
      <c r="D26" s="17"/>
      <c r="E26" s="18"/>
    </row>
    <row r="27" spans="1:5" ht="30" customHeight="1" x14ac:dyDescent="0.3">
      <c r="A27" s="15" t="s">
        <v>568</v>
      </c>
      <c r="B27" s="16" t="s">
        <v>569</v>
      </c>
      <c r="C27" s="16" t="s">
        <v>570</v>
      </c>
      <c r="D27" s="17"/>
      <c r="E27" s="18"/>
    </row>
    <row r="29" spans="1:5" x14ac:dyDescent="0.3">
      <c r="A29" s="35" t="s">
        <v>571</v>
      </c>
      <c r="B29" s="30"/>
      <c r="C29" s="30"/>
      <c r="D29" s="30"/>
      <c r="E29" s="30"/>
    </row>
    <row r="30" spans="1:5" ht="22.05" customHeight="1" x14ac:dyDescent="0.3">
      <c r="A30" s="2" t="s">
        <v>68</v>
      </c>
      <c r="B30" s="2" t="s">
        <v>572</v>
      </c>
      <c r="C30" s="2" t="s">
        <v>573</v>
      </c>
      <c r="D30" s="2" t="s">
        <v>71</v>
      </c>
      <c r="E30" s="2" t="s">
        <v>72</v>
      </c>
    </row>
    <row r="31" spans="1:5" ht="30" customHeight="1" x14ac:dyDescent="0.3">
      <c r="A31" s="15" t="s">
        <v>574</v>
      </c>
      <c r="B31" s="16" t="s">
        <v>575</v>
      </c>
      <c r="C31" s="16" t="s">
        <v>576</v>
      </c>
      <c r="D31" s="17"/>
      <c r="E31" s="18"/>
    </row>
    <row r="32" spans="1:5" ht="30" customHeight="1" x14ac:dyDescent="0.3">
      <c r="A32" s="15" t="s">
        <v>577</v>
      </c>
      <c r="B32" s="16" t="s">
        <v>578</v>
      </c>
      <c r="C32" s="16" t="s">
        <v>579</v>
      </c>
      <c r="D32" s="17"/>
      <c r="E32" s="18"/>
    </row>
    <row r="33" spans="1:5" ht="30" customHeight="1" x14ac:dyDescent="0.3">
      <c r="A33" s="15" t="s">
        <v>580</v>
      </c>
      <c r="B33" s="16" t="s">
        <v>581</v>
      </c>
      <c r="C33" s="16" t="s">
        <v>582</v>
      </c>
      <c r="D33" s="17"/>
      <c r="E33" s="18"/>
    </row>
    <row r="34" spans="1:5" ht="30" customHeight="1" x14ac:dyDescent="0.3">
      <c r="A34" s="15" t="s">
        <v>583</v>
      </c>
      <c r="B34" s="16" t="s">
        <v>584</v>
      </c>
      <c r="C34" s="16" t="s">
        <v>585</v>
      </c>
      <c r="D34" s="17"/>
      <c r="E34" s="18"/>
    </row>
    <row r="35" spans="1:5" ht="30" customHeight="1" x14ac:dyDescent="0.3">
      <c r="A35" s="15" t="s">
        <v>586</v>
      </c>
      <c r="B35" s="16" t="s">
        <v>587</v>
      </c>
      <c r="C35" s="16" t="s">
        <v>588</v>
      </c>
      <c r="D35" s="17"/>
      <c r="E35" s="18"/>
    </row>
    <row r="36" spans="1:5" ht="30" customHeight="1" x14ac:dyDescent="0.3">
      <c r="A36" s="15" t="s">
        <v>589</v>
      </c>
      <c r="B36" s="16" t="s">
        <v>590</v>
      </c>
      <c r="C36" s="16" t="s">
        <v>591</v>
      </c>
      <c r="D36" s="17"/>
      <c r="E36" s="18"/>
    </row>
    <row r="37" spans="1:5" ht="30" customHeight="1" x14ac:dyDescent="0.3">
      <c r="A37" s="15" t="s">
        <v>592</v>
      </c>
      <c r="B37" s="16" t="s">
        <v>593</v>
      </c>
      <c r="C37" s="16" t="s">
        <v>594</v>
      </c>
      <c r="D37" s="17"/>
      <c r="E37" s="18"/>
    </row>
    <row r="38" spans="1:5" ht="30" customHeight="1" x14ac:dyDescent="0.3">
      <c r="A38" s="15" t="s">
        <v>595</v>
      </c>
      <c r="B38" s="16" t="s">
        <v>596</v>
      </c>
      <c r="C38" s="16" t="s">
        <v>597</v>
      </c>
      <c r="D38" s="17"/>
      <c r="E38" s="18"/>
    </row>
    <row r="39" spans="1:5" ht="30" customHeight="1" x14ac:dyDescent="0.3">
      <c r="A39" s="15" t="s">
        <v>598</v>
      </c>
      <c r="B39" s="16" t="s">
        <v>599</v>
      </c>
      <c r="C39" s="16" t="s">
        <v>600</v>
      </c>
      <c r="D39" s="17"/>
      <c r="E39" s="18"/>
    </row>
    <row r="40" spans="1:5" ht="30" customHeight="1" x14ac:dyDescent="0.3">
      <c r="A40" s="15" t="s">
        <v>601</v>
      </c>
      <c r="B40" s="16" t="s">
        <v>602</v>
      </c>
      <c r="C40" s="16" t="s">
        <v>603</v>
      </c>
      <c r="D40" s="17"/>
      <c r="E40" s="18"/>
    </row>
    <row r="42" spans="1:5" x14ac:dyDescent="0.3">
      <c r="A42" s="35" t="s">
        <v>604</v>
      </c>
      <c r="B42" s="30"/>
      <c r="C42" s="30"/>
      <c r="D42" s="30"/>
      <c r="E42" s="30"/>
    </row>
    <row r="43" spans="1:5" ht="22.05" customHeight="1" x14ac:dyDescent="0.3">
      <c r="A43" s="2" t="s">
        <v>68</v>
      </c>
      <c r="B43" s="2" t="s">
        <v>69</v>
      </c>
      <c r="C43" s="2" t="s">
        <v>70</v>
      </c>
      <c r="D43" s="2" t="s">
        <v>71</v>
      </c>
      <c r="E43" s="2" t="s">
        <v>72</v>
      </c>
    </row>
    <row r="44" spans="1:5" ht="30" customHeight="1" x14ac:dyDescent="0.3">
      <c r="A44" s="15" t="s">
        <v>605</v>
      </c>
      <c r="B44" s="16" t="s">
        <v>606</v>
      </c>
      <c r="C44" s="16" t="s">
        <v>607</v>
      </c>
      <c r="D44" s="17"/>
      <c r="E44" s="18"/>
    </row>
  </sheetData>
  <mergeCells count="5">
    <mergeCell ref="A29:E29"/>
    <mergeCell ref="A20:E20"/>
    <mergeCell ref="A7:E7"/>
    <mergeCell ref="A42:E42"/>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6" topLeftCell="A7" activePane="bottomLeft" state="frozen"/>
      <selection pane="bottomLeft" activeCell="B3" sqref="B3"/>
    </sheetView>
  </sheetViews>
  <sheetFormatPr defaultRowHeight="14.4" x14ac:dyDescent="0.3"/>
  <cols>
    <col min="1" max="1" width="8" customWidth="1"/>
    <col min="2" max="3" width="62" customWidth="1"/>
    <col min="4" max="4" width="9" customWidth="1"/>
    <col min="5" max="5" width="34" customWidth="1"/>
  </cols>
  <sheetData>
    <row r="1" spans="1:5" ht="25.95" customHeight="1" x14ac:dyDescent="0.3">
      <c r="A1" s="34" t="s">
        <v>608</v>
      </c>
      <c r="B1" s="30"/>
      <c r="C1" s="30"/>
      <c r="D1" s="30"/>
      <c r="E1" s="30"/>
    </row>
    <row r="3" spans="1:5" x14ac:dyDescent="0.3">
      <c r="A3" s="12" t="s">
        <v>67</v>
      </c>
      <c r="B3" s="13" t="s">
        <v>724</v>
      </c>
      <c r="D3" s="12" t="s">
        <v>9</v>
      </c>
      <c r="E3" s="14">
        <f>COUNTIF($D:$D,"L")</f>
        <v>0</v>
      </c>
    </row>
    <row r="4" spans="1:5" x14ac:dyDescent="0.3">
      <c r="A4" s="12" t="s">
        <v>8</v>
      </c>
      <c r="B4" s="13"/>
      <c r="D4" s="12" t="s">
        <v>10</v>
      </c>
      <c r="E4" s="14">
        <f>COUNTIF($D:$D,"G")</f>
        <v>0</v>
      </c>
    </row>
    <row r="5" spans="1:5" x14ac:dyDescent="0.3">
      <c r="A5" s="12" t="s">
        <v>13</v>
      </c>
      <c r="B5" s="13"/>
      <c r="D5" s="12" t="s">
        <v>11</v>
      </c>
      <c r="E5" s="14">
        <f>COUNTIF($D:$D,"T")</f>
        <v>0</v>
      </c>
    </row>
    <row r="7" spans="1:5" ht="22.05" customHeight="1" x14ac:dyDescent="0.3">
      <c r="A7" s="2" t="s">
        <v>68</v>
      </c>
      <c r="B7" s="2" t="s">
        <v>69</v>
      </c>
      <c r="C7" s="2" t="s">
        <v>70</v>
      </c>
      <c r="D7" s="2" t="s">
        <v>71</v>
      </c>
      <c r="E7" s="2" t="s">
        <v>72</v>
      </c>
    </row>
    <row r="8" spans="1:5" ht="30" customHeight="1" x14ac:dyDescent="0.3">
      <c r="A8" s="15" t="s">
        <v>609</v>
      </c>
      <c r="B8" s="16" t="s">
        <v>610</v>
      </c>
      <c r="C8" s="16" t="s">
        <v>611</v>
      </c>
      <c r="D8" s="17"/>
      <c r="E8" s="18"/>
    </row>
    <row r="9" spans="1:5" ht="30" customHeight="1" x14ac:dyDescent="0.3">
      <c r="A9" s="15" t="s">
        <v>612</v>
      </c>
      <c r="B9" s="16" t="s">
        <v>613</v>
      </c>
      <c r="C9" s="16" t="s">
        <v>614</v>
      </c>
      <c r="D9" s="17"/>
      <c r="E9" s="18"/>
    </row>
    <row r="10" spans="1:5" ht="30" customHeight="1" x14ac:dyDescent="0.3">
      <c r="A10" s="15" t="s">
        <v>615</v>
      </c>
      <c r="B10" s="16" t="s">
        <v>616</v>
      </c>
      <c r="C10" s="16" t="s">
        <v>617</v>
      </c>
      <c r="D10" s="17"/>
      <c r="E10" s="18"/>
    </row>
    <row r="11" spans="1:5" ht="30" customHeight="1" x14ac:dyDescent="0.3">
      <c r="A11" s="15" t="s">
        <v>618</v>
      </c>
      <c r="B11" s="16" t="s">
        <v>619</v>
      </c>
      <c r="C11" s="16" t="s">
        <v>620</v>
      </c>
      <c r="D11" s="17"/>
      <c r="E11" s="18"/>
    </row>
    <row r="12" spans="1:5" ht="30" customHeight="1" x14ac:dyDescent="0.3">
      <c r="A12" s="15" t="s">
        <v>621</v>
      </c>
      <c r="B12" s="16" t="s">
        <v>622</v>
      </c>
      <c r="C12" s="16" t="s">
        <v>280</v>
      </c>
      <c r="D12" s="17"/>
      <c r="E12" s="18"/>
    </row>
    <row r="13" spans="1:5" ht="30" customHeight="1" x14ac:dyDescent="0.3">
      <c r="A13" s="15" t="s">
        <v>623</v>
      </c>
      <c r="B13" s="16" t="s">
        <v>282</v>
      </c>
      <c r="C13" s="16" t="s">
        <v>283</v>
      </c>
      <c r="D13" s="17"/>
      <c r="E13" s="18"/>
    </row>
  </sheetData>
  <mergeCells count="1">
    <mergeCell ref="A1:E1"/>
  </mergeCells>
  <dataValidations count="1">
    <dataValidation type="list" allowBlank="1" error="Isi dengan L (Lulus), G (Gagal) atau T (Terhalang)." prompt="L = Lulus, G = Gagal, T = Terhalang" sqref="D8 D9 D10 D11 D12 D13 D14 D15 D16 D17 D18 D19 D20 D21 D22 D23 D24 D25 D26 D27 D28 D29 D30 D31 D32 D33 D34 D35 D36 D37 D38 D39 D40 D41 D42 D44">
      <formula1>"L,G,T"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Temuan</vt:lpstr>
      <vt:lpstr>Persiapan</vt:lpstr>
      <vt:lpstr>Persetujuan</vt:lpstr>
      <vt:lpstr>User</vt:lpstr>
      <vt:lpstr>Summary</vt:lpstr>
      <vt:lpstr>Tahap 0</vt:lpstr>
      <vt:lpstr>Tahap 1</vt:lpstr>
      <vt:lpstr>Tahap 2</vt:lpstr>
      <vt:lpstr>Tahap 3</vt:lpstr>
      <vt:lpstr>Tahap 4</vt:lpstr>
      <vt:lpstr>Tahap 5</vt:lpstr>
      <vt:lpstr>Tahap 6</vt:lpstr>
      <vt:lpstr>Tahap 7</vt:lpstr>
      <vt:lpstr>Tahap 8</vt:lpstr>
      <vt:lpstr>Tahap 9</vt:lpstr>
      <vt:lpstr>Tahap 10</vt:lpstr>
      <vt:lpstr>Tahap 11</vt:lpstr>
      <vt:lpstr>Tahap 12</vt:lpstr>
      <vt:lpstr>Tahap 13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2026-09-24T23:02:00Z</dcterms:created>
  <dcterms:modified xsi:type="dcterms:W3CDTF">2026-09-25T02:10:26Z</dcterms:modified>
</cp:coreProperties>
</file>